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10-Year Projection" sheetId="2" state="visible" r:id="rId4"/>
    <sheet name="Dashboard" sheetId="3" state="visible" r:id="rId5"/>
    <sheet name="Spending Budg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<sst xmlns="http://schemas.openxmlformats.org/spreadsheetml/2006/main" count="371" uniqueCount="354">
  <si>
    <t xml:space="preserve">HOUSEHOLD FINANCIAL MODEL — ASSUMPTIONS &amp; INPUTS</t>
  </si>
  <si>
    <t xml:space="preserve">Blue cells = change these  |  All $ in AUD  |  As at May 2026</t>
  </si>
  <si>
    <t xml:space="preserve">INCOME</t>
  </si>
  <si>
    <t xml:space="preserve">James / Household</t>
  </si>
  <si>
    <t xml:space="preserve">Sue value</t>
  </si>
  <si>
    <t xml:space="preserve">James — base salary (gross)</t>
  </si>
  <si>
    <t xml:space="preserve">Source: Payslip 2026</t>
  </si>
  <si>
    <t xml:space="preserve">Sue — base salary (gross)</t>
  </si>
  <si>
    <t xml:space="preserve">Employer super rate</t>
  </si>
  <si>
    <t xml:space="preserve">12.5% — both</t>
  </si>
  <si>
    <t xml:space="preserve">James — bonus rate (of base)</t>
  </si>
  <si>
    <t xml:space="preserve">15% of base salary</t>
  </si>
  <si>
    <t xml:space="preserve">James — bonus probability</t>
  </si>
  <si>
    <t xml:space="preserve">~80% hit rate historically</t>
  </si>
  <si>
    <t xml:space="preserve">Annual salary growth (both)</t>
  </si>
  <si>
    <t xml:space="preserve">3% award increase p.a.</t>
  </si>
  <si>
    <t xml:space="preserve">PROPERTIES</t>
  </si>
  <si>
    <t xml:space="preserve">Alexander St — current value</t>
  </si>
  <si>
    <t xml:space="preserve">Seddon VIC — owner occupied</t>
  </si>
  <si>
    <t xml:space="preserve">Alexander St — annual growth</t>
  </si>
  <si>
    <t xml:space="preserve">Melbourne long-run avg</t>
  </si>
  <si>
    <t xml:space="preserve">Alexander St — loan balance</t>
  </si>
  <si>
    <t xml:space="preserve">As at May 2026</t>
  </si>
  <si>
    <t xml:space="preserve">Alexander St — interest rate</t>
  </si>
  <si>
    <t xml:space="preserve">Variable — NAB Choice Package</t>
  </si>
  <si>
    <t xml:space="preserve">Alexander St — min repayment/mth</t>
  </si>
  <si>
    <t xml:space="preserve">Confirmed from NAB app 29 Jul 2026</t>
  </si>
  <si>
    <t xml:space="preserve">Alexander St — extra repayment/mth</t>
  </si>
  <si>
    <t xml:space="preserve">ACTUAL: $750/wk total = $3,250/mth. Set to 0 to model the recommendation</t>
  </si>
  <si>
    <t xml:space="preserve">Alexander St — offset balance</t>
  </si>
  <si>
    <t xml:space="preserve">Walter St — current value</t>
  </si>
  <si>
    <t xml:space="preserve">Sue's property — owner occupied</t>
  </si>
  <si>
    <t xml:space="preserve">Walter St — annual growth</t>
  </si>
  <si>
    <t xml:space="preserve">Walter St — loan balance</t>
  </si>
  <si>
    <t xml:space="preserve">Walter St — interest rate</t>
  </si>
  <si>
    <t xml:space="preserve">Variable — NAB 100% Offset</t>
  </si>
  <si>
    <t xml:space="preserve">Walter St — min repayment/mth</t>
  </si>
  <si>
    <t xml:space="preserve">P&amp;I — loan ends Aug 2054</t>
  </si>
  <si>
    <t xml:space="preserve">Walter St — offset balance</t>
  </si>
  <si>
    <t xml:space="preserve">As at May 2026 — household savings</t>
  </si>
  <si>
    <t xml:space="preserve">SUPERANNUATION</t>
  </si>
  <si>
    <t xml:space="preserve">James — super balance</t>
  </si>
  <si>
    <t xml:space="preserve">Plum NAB Staff MySuper — Apr 2026</t>
  </si>
  <si>
    <t xml:space="preserve">James — super investment return (net of fees)</t>
  </si>
  <si>
    <t xml:space="preserve">Default MySuper; upgrade to 8.5% if switch to high growth</t>
  </si>
  <si>
    <t xml:space="preserve">Sue — super balance</t>
  </si>
  <si>
    <t xml:space="preserve">Estimate — May 2026</t>
  </si>
  <si>
    <t xml:space="preserve">Sue — super investment return (net of fees)</t>
  </si>
  <si>
    <t xml:space="preserve">Assumed similar balanced option</t>
  </si>
  <si>
    <t xml:space="preserve">James — annual salary sacrifice</t>
  </si>
  <si>
    <t xml:space="preserve">Set to remaining cap space (check MyGov first)</t>
  </si>
  <si>
    <t xml:space="preserve">Sue — annual salary sacrifice</t>
  </si>
  <si>
    <t xml:space="preserve">$5,000 cap space available FY2026</t>
  </si>
  <si>
    <t xml:space="preserve">SHARE PORTFOLIO</t>
  </si>
  <si>
    <t xml:space="preserve">NAB shares — current value</t>
  </si>
  <si>
    <t xml:space="preserve">3,492 shares @ $39.83 — Computershare DRP</t>
  </si>
  <si>
    <t xml:space="preserve">Other shares — current value</t>
  </si>
  <si>
    <t xml:space="preserve">Nabtrade + Equate restricted/available</t>
  </si>
  <si>
    <t xml:space="preserve">Share portfolio growth rate</t>
  </si>
  <si>
    <t xml:space="preserve">Conservative long-run net of tax</t>
  </si>
  <si>
    <t xml:space="preserve">Annual new investment (from surplus)</t>
  </si>
  <si>
    <t xml:space="preserve">Set once investment property decision made</t>
  </si>
  <si>
    <t xml:space="preserve">SCHOOL FEES</t>
  </si>
  <si>
    <t xml:space="preserve">School fees — start year</t>
  </si>
  <si>
    <t xml:space="preserve">Liam starts St Kevin's Year 7</t>
  </si>
  <si>
    <t xml:space="preserve">School fees — first year cost</t>
  </si>
  <si>
    <t xml:space="preserve">Yr 7 2027, from actual St Kevin's schedule + levies</t>
  </si>
  <si>
    <t xml:space="preserve">School fees — annual escalation</t>
  </si>
  <si>
    <t xml:space="preserve">Private school fee inflation avg</t>
  </si>
  <si>
    <t xml:space="preserve">School fees — number of years</t>
  </si>
  <si>
    <t xml:space="preserve">Year 7–12 inclusive</t>
  </si>
  <si>
    <t xml:space="preserve">LIVING EXPENSES &amp; CASH FLOW</t>
  </si>
  <si>
    <t xml:space="preserve">Annual credit card spend (household)</t>
  </si>
  <si>
    <t xml:space="preserve">Based on 12 months actual statement data</t>
  </si>
  <si>
    <t xml:space="preserve">Other annual expenses (rates, insurance, etc.)</t>
  </si>
  <si>
    <t xml:space="preserve">Estimated — not on credit card</t>
  </si>
  <si>
    <t xml:space="preserve">Living expense growth rate</t>
  </si>
  <si>
    <t xml:space="preserve">CPI-linked assumption</t>
  </si>
  <si>
    <t xml:space="preserve">Surplus allocation — to Walter St offset (%)</t>
  </si>
  <si>
    <t xml:space="preserve">Proportion of surplus added to offset</t>
  </si>
  <si>
    <t xml:space="preserve">Surplus allocation — to investments (%)</t>
  </si>
  <si>
    <t xml:space="preserve">Remaining surplus to share portfolio</t>
  </si>
  <si>
    <t xml:space="preserve">TAX &amp; STRUCTURAL</t>
  </si>
  <si>
    <t xml:space="preserve">James — marginal tax rate</t>
  </si>
  <si>
    <t xml:space="preserve">45% + 2% Medicare — above $180k</t>
  </si>
  <si>
    <t xml:space="preserve">Sue — marginal tax rate</t>
  </si>
  <si>
    <t xml:space="preserve">Contributions tax rate (super)</t>
  </si>
  <si>
    <t xml:space="preserve">Standard concessional rate</t>
  </si>
  <si>
    <t xml:space="preserve">CGT discount (shares &gt;12 mths)</t>
  </si>
  <si>
    <t xml:space="preserve">50% discount on capital gains</t>
  </si>
  <si>
    <t xml:space="preserve">SUE'S REDUNDANCY (2027)</t>
  </si>
  <si>
    <t xml:space="preserve">Redundancy — gross payment</t>
  </si>
  <si>
    <t xml:space="preserve">Expected H1 2027 — confirm with employer</t>
  </si>
  <si>
    <t xml:space="preserve">Redundancy — year of payment</t>
  </si>
  <si>
    <t xml:space="preserve">Change if timing shifts to 2028</t>
  </si>
  <si>
    <t xml:space="preserve">Years of service (for tax-free calc)</t>
  </si>
  <si>
    <t xml:space="preserve">Estimate — confirm with Sue</t>
  </si>
  <si>
    <t xml:space="preserve">Tax-free base amount (FY27 est)</t>
  </si>
  <si>
    <t xml:space="preserve">ATO genuine redundancy base — indexed annually</t>
  </si>
  <si>
    <t xml:space="preserve">Tax-free per-year-of-service amount</t>
  </si>
  <si>
    <t xml:space="preserve">ATO per year of service — indexed annually</t>
  </si>
  <si>
    <t xml:space="preserve">CONTINGENCY &amp; IRREGULAR EXPENSES</t>
  </si>
  <si>
    <t xml:space="preserve">Annual contingency buffer (house/car/other)</t>
  </si>
  <si>
    <t xml:space="preserve">Fence, repairs, maintenance — adjust as needed</t>
  </si>
  <si>
    <t xml:space="preserve">One-off costs 2026 (e.g. fence replacement)</t>
  </si>
  <si>
    <t xml:space="preserve">Neighbour fence $4-5k — update with actuals</t>
  </si>
  <si>
    <t xml:space="preserve">One-off costs 2027</t>
  </si>
  <si>
    <t xml:space="preserve">Add expected irregular costs for year</t>
  </si>
  <si>
    <t xml:space="preserve">One-off costs 2028</t>
  </si>
  <si>
    <t xml:space="preserve">REPAYMENT &amp; FEE DETAIL (from transaction data)</t>
  </si>
  <si>
    <t xml:space="preserve">Mirrors row 18 — actual $1,498/mth above minimum</t>
  </si>
  <si>
    <t xml:space="preserve">Walter St — extra repayment/mth</t>
  </si>
  <si>
    <t xml:space="preserve">ACTUAL: $750/wk = $3,250/mth less $2,982.56 minimum</t>
  </si>
  <si>
    <t xml:space="preserve">Walter St — loan service fee/mth</t>
  </si>
  <si>
    <t xml:space="preserve">$8/mth = $96/yr. Ask NAB to waive under staff terms</t>
  </si>
  <si>
    <t xml:space="preserve">Alexander St — offset inflow/yr</t>
  </si>
  <si>
    <t xml:space="preserve">$500/wk: $300 from James + $200 from Sue</t>
  </si>
  <si>
    <t xml:space="preserve">Alexander St offset — buffer ceiling</t>
  </si>
  <si>
    <t xml:space="preserve">Above this, redirect the $500/wk to Walter St</t>
  </si>
  <si>
    <t xml:space="preserve">SUE — POST-REDUNDANCY EMPLOYMENT</t>
  </si>
  <si>
    <t xml:space="preserve">Months between roles (2027)</t>
  </si>
  <si>
    <t xml:space="preserve">Assumption — adjust when known</t>
  </si>
  <si>
    <t xml:space="preserve">Sue — salary on return (% of prior)</t>
  </si>
  <si>
    <t xml:space="preserve">1.00 = returns to same level</t>
  </si>
  <si>
    <t xml:space="preserve">JAMES &amp; SUE — 10-YEAR HOUSEHOLD FINANCIAL PROJECTION</t>
  </si>
  <si>
    <t xml:space="preserve">Reflects ACTUAL repayments ($750/wk both loans) and offset inflows as at 29 Jul 2026. Change inputs on the Assumptions tab.</t>
  </si>
  <si>
    <t xml:space="preserve">St Kevin's fee years</t>
  </si>
  <si>
    <t xml:space="preserve">Yr 7</t>
  </si>
  <si>
    <t xml:space="preserve">Yr 8</t>
  </si>
  <si>
    <t xml:space="preserve">Yr 9</t>
  </si>
  <si>
    <t xml:space="preserve">Yr 10</t>
  </si>
  <si>
    <t xml:space="preserve">Yr 11</t>
  </si>
  <si>
    <t xml:space="preserve">Yr 12</t>
  </si>
  <si>
    <t xml:space="preserve">  INCOME</t>
  </si>
  <si>
    <t xml:space="preserve">James — base salary</t>
  </si>
  <si>
    <t xml:space="preserve">Sue — base salary (full-year rate)</t>
  </si>
  <si>
    <t xml:space="preserve">Sue — salary lost during gap (2027)</t>
  </si>
  <si>
    <t xml:space="preserve">Sue — redundancy (net of tax)</t>
  </si>
  <si>
    <t xml:space="preserve">James — expected bonus</t>
  </si>
  <si>
    <t xml:space="preserve">Combined gross income</t>
  </si>
  <si>
    <t xml:space="preserve">James — employer super</t>
  </si>
  <si>
    <t xml:space="preserve">Sue — employer super</t>
  </si>
  <si>
    <t xml:space="preserve">James — net income (after tax)</t>
  </si>
  <si>
    <t xml:space="preserve">Sue — net income (incl redundancy)</t>
  </si>
  <si>
    <t xml:space="preserve">Combined net income</t>
  </si>
  <si>
    <t xml:space="preserve">  ANNUAL EXPENSES</t>
  </si>
  <si>
    <t xml:space="preserve">Alexander St — repayments (actual)</t>
  </si>
  <si>
    <t xml:space="preserve">Walter St — repayments (actual)</t>
  </si>
  <si>
    <t xml:space="preserve">Walter St — loan service fee</t>
  </si>
  <si>
    <t xml:space="preserve">School fees — St Kevin's</t>
  </si>
  <si>
    <t xml:space="preserve">Living expenses (CC + other)</t>
  </si>
  <si>
    <t xml:space="preserve">Contingency &amp; one-off costs</t>
  </si>
  <si>
    <t xml:space="preserve">Total annual expenses</t>
  </si>
  <si>
    <t xml:space="preserve">Annual surplus / (deficit)</t>
  </si>
  <si>
    <t xml:space="preserve">  MORTGAGE BALANCES (GROSS)</t>
  </si>
  <si>
    <t xml:space="preserve">Total loan balances</t>
  </si>
  <si>
    <t xml:space="preserve">  OFFSET ACCOUNTS</t>
  </si>
  <si>
    <t xml:space="preserve">Alexander St offset</t>
  </si>
  <si>
    <t xml:space="preserve">Walter St offset (receives all surplus)</t>
  </si>
  <si>
    <t xml:space="preserve">Combined offsets</t>
  </si>
  <si>
    <t xml:space="preserve">Alexander St — NET debt</t>
  </si>
  <si>
    <t xml:space="preserve">Walter St — NET debt</t>
  </si>
  <si>
    <t xml:space="preserve">COMBINED NET DEBT</t>
  </si>
  <si>
    <t xml:space="preserve">Offset saturation status</t>
  </si>
  <si>
    <t xml:space="preserve">  PROPERTY VALUES</t>
  </si>
  <si>
    <t xml:space="preserve">Alexander St — value</t>
  </si>
  <si>
    <t xml:space="preserve">Walter St — value</t>
  </si>
  <si>
    <t xml:space="preserve">Total property value</t>
  </si>
  <si>
    <t xml:space="preserve">Property equity (value less loans)</t>
  </si>
  <si>
    <t xml:space="preserve">  SUPERANNUATION</t>
  </si>
  <si>
    <t xml:space="preserve">Combined super</t>
  </si>
  <si>
    <t xml:space="preserve">  SHARE PORTFOLIO</t>
  </si>
  <si>
    <t xml:space="preserve">Share portfolio value</t>
  </si>
  <si>
    <t xml:space="preserve">  NET WORTH</t>
  </si>
  <si>
    <t xml:space="preserve">Cumulative school fees paid</t>
  </si>
  <si>
    <t xml:space="preserve">Total assets</t>
  </si>
  <si>
    <t xml:space="preserve">Total liabilities</t>
  </si>
  <si>
    <t xml:space="preserve">NET WORTH</t>
  </si>
  <si>
    <t xml:space="preserve">Net worth growth (YoY)</t>
  </si>
  <si>
    <t xml:space="preserve">"-"</t>
  </si>
  <si>
    <t xml:space="preserve">  REFERENCE</t>
  </si>
  <si>
    <t xml:space="preserve">James age</t>
  </si>
  <si>
    <t xml:space="preserve">Sue age</t>
  </si>
  <si>
    <t xml:space="preserve">Milestones</t>
  </si>
  <si>
    <t xml:space="preserve">Liam Yr7; Sue redundancy</t>
  </si>
  <si>
    <t xml:space="preserve">Liam finishes</t>
  </si>
  <si>
    <t xml:space="preserve">HOUSEHOLD FINANCIAL DASHBOARD</t>
  </si>
  <si>
    <t xml:space="preserve">Live links to the 10-Year Projection. Update inputs on the Assumptions tab.</t>
  </si>
  <si>
    <t xml:space="preserve">Net worth</t>
  </si>
  <si>
    <t xml:space="preserve">  Property equity</t>
  </si>
  <si>
    <t xml:space="preserve">  Superannuation</t>
  </si>
  <si>
    <t xml:space="preserve">  Shares</t>
  </si>
  <si>
    <t xml:space="preserve">  Offsets</t>
  </si>
  <si>
    <t xml:space="preserve">  Loans (liability)</t>
  </si>
  <si>
    <t xml:space="preserve">  DEBT &amp; OFFSET SATURATION</t>
  </si>
  <si>
    <t xml:space="preserve">Walter St offset</t>
  </si>
  <si>
    <t xml:space="preserve">Alexander St NET debt</t>
  </si>
  <si>
    <t xml:space="preserve">Walter St NET debt</t>
  </si>
  <si>
    <t xml:space="preserve">Combined NET debt</t>
  </si>
  <si>
    <t xml:space="preserve">Saturation status</t>
  </si>
  <si>
    <t xml:space="preserve">  CASH FLOW</t>
  </si>
  <si>
    <t xml:space="preserve">Net income</t>
  </si>
  <si>
    <t xml:space="preserve">Total expenses</t>
  </si>
  <si>
    <t xml:space="preserve">School fees</t>
  </si>
  <si>
    <t xml:space="preserve">Annual surplus</t>
  </si>
  <si>
    <t xml:space="preserve">Cumulative school fees</t>
  </si>
  <si>
    <t xml:space="preserve">James</t>
  </si>
  <si>
    <t xml:space="preserve">Sue</t>
  </si>
  <si>
    <t xml:space="preserve">Combined</t>
  </si>
  <si>
    <t xml:space="preserve">HOUSEHOLD SPENDING BUDGET — JAMES &amp; SUE</t>
  </si>
  <si>
    <t xml:space="preserve">Blue cells = your budget targets (annual)  |  Monthly and weekly auto-calculate  |  Variance = Budget minus Actual</t>
  </si>
  <si>
    <t xml:space="preserve">Category</t>
  </si>
  <si>
    <t xml:space="preserve">Annual budget ($)</t>
  </si>
  <si>
    <t xml:space="preserve">Monthly ($)</t>
  </si>
  <si>
    <t xml:space="preserve">Weekly ($)</t>
  </si>
  <si>
    <t xml:space="preserve">James — weekly ($)</t>
  </si>
  <si>
    <t xml:space="preserve">Sue — weekly ($)</t>
  </si>
  <si>
    <t xml:space="preserve">Actual — last 12m ($)</t>
  </si>
  <si>
    <t xml:space="preserve">Variance ($)</t>
  </si>
  <si>
    <t xml:space="preserve">Notes / context</t>
  </si>
  <si>
    <t xml:space="preserve">WEEKLY PERSONAL ALLOWANCES AT A GLANCE — James (blue) and Sue (green)</t>
  </si>
  <si>
    <t xml:space="preserve">James weekly targets →</t>
  </si>
  <si>
    <t xml:space="preserve">Dining out: $115</t>
  </si>
  <si>
    <t xml:space="preserve">Cafes: $32</t>
  </si>
  <si>
    <t xml:space="preserve">Groceries: $98</t>
  </si>
  <si>
    <t xml:space="preserve">Transport: $46</t>
  </si>
  <si>
    <t xml:space="preserve">Subscriptions: $14</t>
  </si>
  <si>
    <t xml:space="preserve">Sue weekly targets →</t>
  </si>
  <si>
    <t xml:space="preserve">Cafes: $28</t>
  </si>
  <si>
    <t xml:space="preserve">Groceries: $52</t>
  </si>
  <si>
    <t xml:space="preserve">Transport: $40</t>
  </si>
  <si>
    <t xml:space="preserve">  FOOD &amp; DINING</t>
  </si>
  <si>
    <t xml:space="preserve">Dining out &amp; restaurants</t>
  </si>
  <si>
    <t xml:space="preserve">Split evenly — shared expense | Target $1,000/mth vs $1,800+ actual — biggest saving opp</t>
  </si>
  <si>
    <t xml:space="preserve">Cafes &amp; coffee</t>
  </si>
  <si>
    <t xml:space="preserve">James slightly higher based on weekday pattern | Daily coffees x2 + weekend cafes — ~$58/wk target</t>
  </si>
  <si>
    <t xml:space="preserve">Takeaway &amp; delivery</t>
  </si>
  <si>
    <t xml:space="preserve">Split evenly | Target $200/mth — currently ~$290</t>
  </si>
  <si>
    <t xml:space="preserve">Supermarkets &amp; groceries</t>
  </si>
  <si>
    <t xml:space="preserve">James ~$150/wk via Woolworths gift cards; Sue ~$80/wk + Happy Apple/Asian grocery | Gift cards don't show as grocery on statement — actual may be higher</t>
  </si>
  <si>
    <t xml:space="preserve">Alcohol &amp; bottle shop</t>
  </si>
  <si>
    <t xml:space="preserve">Split evenly | Included in dining estimate — flag if tracked separately</t>
  </si>
  <si>
    <t xml:space="preserve">FOOD &amp; DINING TOTAL</t>
  </si>
  <si>
    <t xml:space="preserve">  HOUSING &amp; PROPERTY</t>
  </si>
  <si>
    <t xml:space="preserve">Alexander St mortgage (min + extra)</t>
  </si>
  <si>
    <t xml:space="preserve">James only — his property | Fixed — $1,752 min + $1,500 extra × 12</t>
  </si>
  <si>
    <t xml:space="preserve">Walter St mortgage (minimum)</t>
  </si>
  <si>
    <t xml:space="preserve">Sue only — her property | Fixed — $2,983 × 12</t>
  </si>
  <si>
    <t xml:space="preserve">Council rates — Alexander St</t>
  </si>
  <si>
    <t xml:space="preserve">James only | Estimate — update with actual notice</t>
  </si>
  <si>
    <t xml:space="preserve">Council rates — Walter St</t>
  </si>
  <si>
    <t xml:space="preserve">Sue only | Estimate — update with actual notice</t>
  </si>
  <si>
    <t xml:space="preserve">Home &amp; contents insurance (both properties)</t>
  </si>
  <si>
    <t xml:space="preserve">Split evenly | Estimate — review against actual policy premium</t>
  </si>
  <si>
    <t xml:space="preserve">Home maintenance &amp; repairs (annual contingency)</t>
  </si>
  <si>
    <t xml:space="preserve">Split evenly | Budgeted contingency — incl fence, appliances, garden</t>
  </si>
  <si>
    <t xml:space="preserve">Body corp / strata (if applicable)</t>
  </si>
  <si>
    <t xml:space="preserve">Confirmed not applicable — both properties are houses</t>
  </si>
  <si>
    <t xml:space="preserve">HOUSING TOTAL</t>
  </si>
  <si>
    <t xml:space="preserve">  INSURANCE &amp; HEALTH</t>
  </si>
  <si>
    <t xml:space="preserve">Private health insurance (BUPA)</t>
  </si>
  <si>
    <t xml:space="preserve">Family policy — split evenly | Currently $378/mth — budget assumes negotiated down</t>
  </si>
  <si>
    <t xml:space="preserve">Life / income protection insurance</t>
  </si>
  <si>
    <t xml:space="preserve">Individual policies — each bears own | Estimate — critical given no formal estate docs</t>
  </si>
  <si>
    <t xml:space="preserve">Car insurance — one shared vehicle</t>
  </si>
  <si>
    <t xml:space="preserve">One car — updated from prior 2-car estimate</t>
  </si>
  <si>
    <t xml:space="preserve">Travel insurance (annual multi-trip)</t>
  </si>
  <si>
    <t xml:space="preserve">Family policy — split evenly | Replace lost NAB card cover — action item #2</t>
  </si>
  <si>
    <t xml:space="preserve">Pharmacy &amp; medical out-of-pocket</t>
  </si>
  <si>
    <t xml:space="preserve">$100/person/month — GP ~$60 out-of-pocket per visit + pharmacy. Update with actuals.</t>
  </si>
  <si>
    <t xml:space="preserve">INSURANCE &amp; HEALTH TOTAL</t>
  </si>
  <si>
    <t xml:space="preserve">  TRANSPORT</t>
  </si>
  <si>
    <t xml:space="preserve">Fuel — one shared car (~1 tank/month @ $70)</t>
  </si>
  <si>
    <t xml:space="preserve">$70/tank × 12 months. Update if usage changes.</t>
  </si>
  <si>
    <t xml:space="preserve">Car servicing &amp; maintenance</t>
  </si>
  <si>
    <t xml:space="preserve">Older car — allow for unexpected repairs</t>
  </si>
  <si>
    <t xml:space="preserve">Registration — one vehicle</t>
  </si>
  <si>
    <t xml:space="preserve">Update with actual Vic Roads amount</t>
  </si>
  <si>
    <t xml:space="preserve">Public transport — James (4 days/wk to office)</t>
  </si>
  <si>
    <t xml:space="preserve">4 days × 2 × $7 × 52wks. Vic Govt half-price to Dec 2026 saves ~$1,000 this year.</t>
  </si>
  <si>
    <t xml:space="preserve">Public transport — Sue (3 days/wk to city)</t>
  </si>
  <si>
    <t xml:space="preserve">3 days × 2 × $7 × 52wks. Half-price to Dec 2026 saves ~$750 this year.</t>
  </si>
  <si>
    <t xml:space="preserve">Parking &amp; tolls</t>
  </si>
  <si>
    <t xml:space="preserve">~$20/wk — occasional parking only</t>
  </si>
  <si>
    <t xml:space="preserve">TRANSPORT TOTAL</t>
  </si>
  <si>
    <t xml:space="preserve">  SUBSCRIPTIONS &amp; TECHNOLOGY</t>
  </si>
  <si>
    <t xml:space="preserve">Streaming (Netflix / Disney+ / Stan — 1 active)</t>
  </si>
  <si>
    <t xml:space="preserve">Shared household | Budget for 1 service at a time — cancel unused</t>
  </si>
  <si>
    <t xml:space="preserve">AI tools (Claude / ChatGPT)</t>
  </si>
  <si>
    <t xml:space="preserve">Review — one shared account may suffice</t>
  </si>
  <si>
    <t xml:space="preserve">Music (Spotify / Apple Music)</t>
  </si>
  <si>
    <t xml:space="preserve">Split evenly | Estimate</t>
  </si>
  <si>
    <t xml:space="preserve">Internet — James (Alexander St)</t>
  </si>
  <si>
    <t xml:space="preserve">Dodo ~$89/mth — confirm plan. Consider switching to cheaper provider.</t>
  </si>
  <si>
    <t xml:space="preserve">Internet — Sue (Walter St)</t>
  </si>
  <si>
    <t xml:space="preserve">Estimate $75/mth — confirm Sue's actual provider and plan</t>
  </si>
  <si>
    <t xml:space="preserve">Mobile — James (currently $60/mth, target $30)</t>
  </si>
  <si>
    <t xml:space="preserve">Currently $60/mth — target plan at $30 saves $360/yr</t>
  </si>
  <si>
    <t xml:space="preserve">Mobile — Sue ($30/mth)</t>
  </si>
  <si>
    <t xml:space="preserve">$30/mth — confirm plan details</t>
  </si>
  <si>
    <t xml:space="preserve">Cloud storage / Apple iCloud</t>
  </si>
  <si>
    <t xml:space="preserve">Security (Ring / home security)</t>
  </si>
  <si>
    <t xml:space="preserve">Shared | Ring annual plan</t>
  </si>
  <si>
    <t xml:space="preserve">Other subscriptions / software</t>
  </si>
  <si>
    <t xml:space="preserve">Split evenly | Nebula, LinkedIn, etc.</t>
  </si>
  <si>
    <t xml:space="preserve">SUBSCRIPTIONS TOTAL</t>
  </si>
  <si>
    <t xml:space="preserve">  CHILDREN &amp; EDUCATION</t>
  </si>
  <si>
    <t xml:space="preserve">  School year to budget for →</t>
  </si>
  <si>
    <t xml:space="preserve">St Kevin's annual fees (from schedule)</t>
  </si>
  <si>
    <t xml:space="preserve">Auto-updates from year selector in D56 — change D56 to current year each Jan</t>
  </si>
  <si>
    <t xml:space="preserve">Calendar year</t>
  </si>
  <si>
    <t xml:space="preserve">Annual fee</t>
  </si>
  <si>
    <t xml:space="preserve">Monthly</t>
  </si>
  <si>
    <t xml:space="preserve">Weekly</t>
  </si>
  <si>
    <t xml:space="preserve">Year level</t>
  </si>
  <si>
    <t xml:space="preserve">James /wk</t>
  </si>
  <si>
    <t xml:space="preserve">Sue /wk</t>
  </si>
  <si>
    <t xml:space="preserve">Notes</t>
  </si>
  <si>
    <t xml:space="preserve">Year 7</t>
  </si>
  <si>
    <t xml:space="preserve">Year 8</t>
  </si>
  <si>
    <t xml:space="preserve">Year 9</t>
  </si>
  <si>
    <t xml:space="preserve">Yr 9 camp levy highest</t>
  </si>
  <si>
    <t xml:space="preserve">Year 10</t>
  </si>
  <si>
    <t xml:space="preserve">Year 11</t>
  </si>
  <si>
    <t xml:space="preserve">Yr 12 no camp levy</t>
  </si>
  <si>
    <t xml:space="preserve">TOTAL — all 6 years (Liam Yr 7–12)</t>
  </si>
  <si>
    <t xml:space="preserve">$252,713 total | avg $43,452/yr | peaks in Yr 11-12</t>
  </si>
  <si>
    <t xml:space="preserve">School extras (uniforms, excursions, sport)</t>
  </si>
  <si>
    <t xml:space="preserve">Split evenly | Estimate — add to school fee total</t>
  </si>
  <si>
    <t xml:space="preserve">Children's activities / sport</t>
  </si>
  <si>
    <t xml:space="preserve">Split evenly | Estimate — update with actuals</t>
  </si>
  <si>
    <t xml:space="preserve">CHILDREN &amp; EDUCATION TOTAL</t>
  </si>
  <si>
    <t xml:space="preserve">  LIFESTYLE &amp; DISCRETIONARY</t>
  </si>
  <si>
    <t xml:space="preserve">Holidays &amp; travel (domestic + international)</t>
  </si>
  <si>
    <t xml:space="preserve">Shared family expense | Jan + Mar spikes in data — budget $25k/yr for family travel</t>
  </si>
  <si>
    <t xml:space="preserve">Entertainment (events, concerts, sport)</t>
  </si>
  <si>
    <t xml:space="preserve">James slightly higher — estimate | Estimate</t>
  </si>
  <si>
    <t xml:space="preserve">Clothing &amp; personal shopping</t>
  </si>
  <si>
    <t xml:space="preserve">Individual spending | Estimate — update with actuals</t>
  </si>
  <si>
    <t xml:space="preserve">Personal care (haircuts, gym, wellness)</t>
  </si>
  <si>
    <t xml:space="preserve">Individual spending | ~$150/mth combined — estimate</t>
  </si>
  <si>
    <t xml:space="preserve">Gifts &amp; celebrations</t>
  </si>
  <si>
    <t xml:space="preserve">Split evenly | Birthdays, Christmas, weddings etc</t>
  </si>
  <si>
    <t xml:space="preserve">Pet costs (if applicable)</t>
  </si>
  <si>
    <t xml:space="preserve">Split evenly | Update if you have pets</t>
  </si>
  <si>
    <t xml:space="preserve">Salary sacrifice — James (super)</t>
  </si>
  <si>
    <t xml:space="preserve">James only | Set once FY27 arrangement confirmed — currently $0</t>
  </si>
  <si>
    <t xml:space="preserve">Salary sacrifice — Sue (super)</t>
  </si>
  <si>
    <t xml:space="preserve">Sue only | Set once FY27 arrangement confirmed — currently $0</t>
  </si>
  <si>
    <t xml:space="preserve">Investment savings (redirect from NAB Smart Saver)</t>
  </si>
  <si>
    <t xml:space="preserve">James's account — redirect to offset | Currently $50/wk — consider moving to Walter St offset instead</t>
  </si>
  <si>
    <t xml:space="preserve">Additional mortgage overpayment — Alexander St</t>
  </si>
  <si>
    <t xml:space="preserve">James only — his property | $1,500/mth extra — review after investment property decision</t>
  </si>
  <si>
    <t xml:space="preserve">SAVINGS &amp; INVESTMENTS TOTAL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</si>
</sst>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-0.0%;\-"/>
    <numFmt numFmtId="167" formatCode="0.00%;\-0.00%;\-"/>
    <numFmt numFmtId="168" formatCode="\$#,##0;&quot;($&quot;#,##0\);\-"/>
    <numFmt numFmtId="169" formatCode="#,##0"/>
    <numFmt numFmtId="170" formatCode="#,##0;\(#,##0\);\-"/>
    <numFmt numFmtId="171" formatCode="#,##0;\(#,##0\);\-"/>
    <numFmt numFmtId="172" formatCode="0.0%;\-0.0%;\-"/>
    <numFmt numFmtId="173" formatCode="0"/>
    <numFmt numFmtId="174" formatCode="@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883300"/>
      <name val="Arial"/>
      <family val="0"/>
      <charset val="1"/>
    </font>
    <font>
      <b val="true"/>
      <sz val="10"/>
      <color rgb="FF1F5C9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1F5C99"/>
      <name val="Arial"/>
      <family val="0"/>
      <charset val="1"/>
    </font>
    <font>
      <sz val="10"/>
      <color rgb="FF37562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i val="true"/>
      <sz val="8"/>
      <color rgb="FF99999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DCE6F1"/>
        <bgColor rgb="FFD6E4F0"/>
      </patternFill>
    </fill>
    <fill>
      <patternFill patternType="solid">
        <fgColor rgb="FFFFF0F0"/>
        <bgColor rgb="FFF2F7FB"/>
      </patternFill>
    </fill>
    <fill>
      <patternFill patternType="solid">
        <fgColor rgb="FFD6E4F0"/>
        <bgColor rgb="FFDCE6F1"/>
      </patternFill>
    </fill>
    <fill>
      <patternFill patternType="solid">
        <fgColor rgb="FFFCE4D6"/>
        <bgColor rgb="FFFFE2E2"/>
      </patternFill>
    </fill>
    <fill>
      <patternFill patternType="solid">
        <fgColor rgb="FFE2F0D9"/>
        <bgColor rgb="FFE6F1FB"/>
      </patternFill>
    </fill>
    <fill>
      <patternFill patternType="solid">
        <fgColor rgb="FFFFE2E2"/>
        <bgColor rgb="FFFCE4D6"/>
      </patternFill>
    </fill>
    <fill>
      <patternFill patternType="solid">
        <fgColor rgb="FFFFC000"/>
        <bgColor rgb="FFFF9900"/>
      </patternFill>
    </fill>
    <fill>
      <patternFill patternType="solid">
        <fgColor rgb="FF1F5C99"/>
        <bgColor rgb="FF2F5496"/>
      </patternFill>
    </fill>
    <fill>
      <patternFill patternType="solid">
        <fgColor rgb="FF375623"/>
        <bgColor rgb="FF444444"/>
      </patternFill>
    </fill>
    <fill>
      <patternFill patternType="solid">
        <fgColor rgb="FFBDD7EE"/>
        <bgColor rgb="FFD6E4F0"/>
      </patternFill>
    </fill>
    <fill>
      <patternFill patternType="solid">
        <fgColor rgb="FFE6F1FB"/>
        <bgColor rgb="FFF2F7FB"/>
      </patternFill>
    </fill>
    <fill>
      <patternFill patternType="solid">
        <fgColor rgb="FF2F5496"/>
        <bgColor rgb="FF1F5C99"/>
      </patternFill>
    </fill>
    <fill>
      <patternFill patternType="solid">
        <fgColor rgb="FFF2F7FB"/>
        <bgColor rgb="FFE6F1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0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777777"/>
      <rgbColor rgb="FF9999FF"/>
      <rgbColor rgb="FF7030A0"/>
      <rgbColor rgb="FFFFF0F0"/>
      <rgbColor rgb="FFE6F1FB"/>
      <rgbColor rgb="FF660066"/>
      <rgbColor rgb="FFFF8080"/>
      <rgbColor rgb="FF1F5C99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FE2E2"/>
      <rgbColor rgb="FFF2F7FB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666666"/>
      <rgbColor rgb="FF999999"/>
      <rgbColor rgb="FF1F3864"/>
      <rgbColor rgb="FF339966"/>
      <rgbColor rgb="FF003300"/>
      <rgbColor rgb="FF375623"/>
      <rgbColor rgb="FF883300"/>
      <rgbColor rgb="FF555555"/>
      <rgbColor rgb="FF2F5496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8"/>
    <col collapsed="false" customWidth="true" hidden="false" outlineLevel="0" max="4" min="4" style="1" width="46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15.75" hidden="false" customHeight="true" outlineLevel="0" collapsed="false">
      <c r="A2" s="3" t="s">
        <v>1</v>
      </c>
      <c r="B2" s="3"/>
      <c r="C2" s="3"/>
      <c r="D2" s="3"/>
    </row>
    <row r="4" customFormat="false" ht="18" hidden="false" customHeight="true" outlineLevel="0" collapsed="false">
      <c r="A4" s="4" t="s">
        <v>2</v>
      </c>
      <c r="B4" s="5" t="s">
        <v>3</v>
      </c>
      <c r="C4" s="5" t="s">
        <v>4</v>
      </c>
      <c r="D4" s="6"/>
    </row>
    <row r="5" customFormat="false" ht="16.5" hidden="false" customHeight="true" outlineLevel="0" collapsed="false">
      <c r="A5" s="7" t="s">
        <v>5</v>
      </c>
      <c r="B5" s="8" t="n">
        <v>190000</v>
      </c>
      <c r="D5" s="9" t="s">
        <v>6</v>
      </c>
    </row>
    <row r="6" customFormat="false" ht="16.5" hidden="false" customHeight="true" outlineLevel="0" collapsed="false">
      <c r="A6" s="7" t="s">
        <v>7</v>
      </c>
      <c r="B6" s="8" t="n">
        <v>200000</v>
      </c>
      <c r="D6" s="9" t="s">
        <v>6</v>
      </c>
    </row>
    <row r="7" customFormat="false" ht="16.5" hidden="false" customHeight="true" outlineLevel="0" collapsed="false">
      <c r="A7" s="7" t="s">
        <v>8</v>
      </c>
      <c r="B7" s="10" t="n">
        <v>0.125</v>
      </c>
      <c r="D7" s="9" t="s">
        <v>9</v>
      </c>
    </row>
    <row r="8" customFormat="false" ht="16.5" hidden="false" customHeight="true" outlineLevel="0" collapsed="false">
      <c r="A8" s="7" t="s">
        <v>10</v>
      </c>
      <c r="B8" s="10" t="n">
        <v>0.15</v>
      </c>
      <c r="D8" s="9" t="s">
        <v>11</v>
      </c>
    </row>
    <row r="9" customFormat="false" ht="16.5" hidden="false" customHeight="true" outlineLevel="0" collapsed="false">
      <c r="A9" s="7" t="s">
        <v>12</v>
      </c>
      <c r="B9" s="10" t="n">
        <v>0.8</v>
      </c>
      <c r="D9" s="9" t="s">
        <v>13</v>
      </c>
    </row>
    <row r="10" customFormat="false" ht="16.5" hidden="false" customHeight="true" outlineLevel="0" collapsed="false">
      <c r="A10" s="7" t="s">
        <v>14</v>
      </c>
      <c r="B10" s="10" t="n">
        <v>0.03</v>
      </c>
      <c r="D10" s="9" t="s">
        <v>15</v>
      </c>
    </row>
    <row r="12" customFormat="false" ht="18" hidden="false" customHeight="true" outlineLevel="0" collapsed="false">
      <c r="A12" s="4" t="s">
        <v>16</v>
      </c>
      <c r="B12" s="6"/>
      <c r="C12" s="6"/>
      <c r="D12" s="6"/>
    </row>
    <row r="13" customFormat="false" ht="16.5" hidden="false" customHeight="true" outlineLevel="0" collapsed="false">
      <c r="A13" s="7" t="s">
        <v>17</v>
      </c>
      <c r="B13" s="8" t="n">
        <v>900000</v>
      </c>
      <c r="D13" s="9" t="s">
        <v>18</v>
      </c>
    </row>
    <row r="14" customFormat="false" ht="16.5" hidden="false" customHeight="true" outlineLevel="0" collapsed="false">
      <c r="A14" s="7" t="s">
        <v>19</v>
      </c>
      <c r="B14" s="10" t="n">
        <v>0.04</v>
      </c>
      <c r="D14" s="9" t="s">
        <v>20</v>
      </c>
    </row>
    <row r="15" customFormat="false" ht="16.5" hidden="false" customHeight="true" outlineLevel="0" collapsed="false">
      <c r="A15" s="7" t="s">
        <v>21</v>
      </c>
      <c r="B15" s="8" t="n">
        <v>170106</v>
      </c>
      <c r="D15" s="9" t="s">
        <v>22</v>
      </c>
    </row>
    <row r="16" customFormat="false" ht="16.5" hidden="false" customHeight="true" outlineLevel="0" collapsed="false">
      <c r="A16" s="7" t="s">
        <v>23</v>
      </c>
      <c r="B16" s="11" t="n">
        <v>0.0589</v>
      </c>
      <c r="D16" s="9" t="s">
        <v>24</v>
      </c>
    </row>
    <row r="17" customFormat="false" ht="16.5" hidden="false" customHeight="true" outlineLevel="0" collapsed="false">
      <c r="A17" s="7" t="s">
        <v>25</v>
      </c>
      <c r="B17" s="12" t="n">
        <v>1752.13</v>
      </c>
      <c r="D17" s="9" t="s">
        <v>26</v>
      </c>
    </row>
    <row r="18" customFormat="false" ht="16.5" hidden="false" customHeight="true" outlineLevel="0" collapsed="false">
      <c r="A18" s="7" t="s">
        <v>27</v>
      </c>
      <c r="B18" s="12" t="n">
        <v>1497.87</v>
      </c>
      <c r="D18" s="13" t="s">
        <v>28</v>
      </c>
    </row>
    <row r="19" customFormat="false" ht="16.5" hidden="false" customHeight="true" outlineLevel="0" collapsed="false">
      <c r="A19" s="7" t="s">
        <v>29</v>
      </c>
      <c r="B19" s="8" t="n">
        <v>17350</v>
      </c>
      <c r="D19" s="9" t="s">
        <v>22</v>
      </c>
    </row>
    <row r="20" customFormat="false" ht="16.5" hidden="false" customHeight="true" outlineLevel="0" collapsed="false">
      <c r="A20" s="7" t="s">
        <v>30</v>
      </c>
      <c r="B20" s="8" t="n">
        <v>800000</v>
      </c>
      <c r="D20" s="9" t="s">
        <v>31</v>
      </c>
    </row>
    <row r="21" customFormat="false" ht="16.5" hidden="false" customHeight="true" outlineLevel="0" collapsed="false">
      <c r="A21" s="7" t="s">
        <v>32</v>
      </c>
      <c r="B21" s="10" t="n">
        <v>0.04</v>
      </c>
      <c r="D21" s="9" t="s">
        <v>20</v>
      </c>
    </row>
    <row r="22" customFormat="false" ht="16.5" hidden="false" customHeight="true" outlineLevel="0" collapsed="false">
      <c r="A22" s="7" t="s">
        <v>33</v>
      </c>
      <c r="B22" s="8" t="n">
        <v>459344</v>
      </c>
      <c r="D22" s="9" t="s">
        <v>22</v>
      </c>
    </row>
    <row r="23" customFormat="false" ht="16.5" hidden="false" customHeight="true" outlineLevel="0" collapsed="false">
      <c r="A23" s="7" t="s">
        <v>34</v>
      </c>
      <c r="B23" s="11" t="n">
        <v>0.0599</v>
      </c>
      <c r="D23" s="9" t="s">
        <v>35</v>
      </c>
    </row>
    <row r="24" customFormat="false" ht="16.5" hidden="false" customHeight="true" outlineLevel="0" collapsed="false">
      <c r="A24" s="7" t="s">
        <v>36</v>
      </c>
      <c r="B24" s="12" t="n">
        <v>2982.56</v>
      </c>
      <c r="D24" s="9" t="s">
        <v>37</v>
      </c>
    </row>
    <row r="25" customFormat="false" ht="16.5" hidden="false" customHeight="true" outlineLevel="0" collapsed="false">
      <c r="A25" s="7" t="s">
        <v>38</v>
      </c>
      <c r="B25" s="8" t="n">
        <v>200014</v>
      </c>
      <c r="D25" s="9" t="s">
        <v>39</v>
      </c>
    </row>
    <row r="27" customFormat="false" ht="18" hidden="false" customHeight="true" outlineLevel="0" collapsed="false">
      <c r="A27" s="4" t="s">
        <v>40</v>
      </c>
      <c r="B27" s="6"/>
      <c r="C27" s="6"/>
      <c r="D27" s="6"/>
    </row>
    <row r="28" customFormat="false" ht="16.5" hidden="false" customHeight="true" outlineLevel="0" collapsed="false">
      <c r="A28" s="7" t="s">
        <v>41</v>
      </c>
      <c r="B28" s="8" t="n">
        <v>448141</v>
      </c>
      <c r="D28" s="9" t="s">
        <v>42</v>
      </c>
    </row>
    <row r="29" customFormat="false" ht="16.5" hidden="false" customHeight="true" outlineLevel="0" collapsed="false">
      <c r="A29" s="7" t="s">
        <v>43</v>
      </c>
      <c r="B29" s="10" t="n">
        <v>0.07</v>
      </c>
      <c r="D29" s="9" t="s">
        <v>44</v>
      </c>
    </row>
    <row r="30" customFormat="false" ht="16.5" hidden="false" customHeight="true" outlineLevel="0" collapsed="false">
      <c r="A30" s="7" t="s">
        <v>45</v>
      </c>
      <c r="B30" s="8" t="n">
        <v>350000</v>
      </c>
      <c r="D30" s="9" t="s">
        <v>46</v>
      </c>
    </row>
    <row r="31" customFormat="false" ht="16.5" hidden="false" customHeight="true" outlineLevel="0" collapsed="false">
      <c r="A31" s="7" t="s">
        <v>47</v>
      </c>
      <c r="B31" s="10" t="n">
        <v>0.07</v>
      </c>
      <c r="D31" s="9" t="s">
        <v>48</v>
      </c>
    </row>
    <row r="32" customFormat="false" ht="16.5" hidden="false" customHeight="true" outlineLevel="0" collapsed="false">
      <c r="A32" s="7" t="s">
        <v>49</v>
      </c>
      <c r="B32" s="8" t="n">
        <v>0</v>
      </c>
      <c r="D32" s="9" t="s">
        <v>50</v>
      </c>
    </row>
    <row r="33" customFormat="false" ht="16.5" hidden="false" customHeight="true" outlineLevel="0" collapsed="false">
      <c r="A33" s="7" t="s">
        <v>51</v>
      </c>
      <c r="B33" s="8" t="n">
        <v>0</v>
      </c>
      <c r="D33" s="9" t="s">
        <v>52</v>
      </c>
    </row>
    <row r="35" customFormat="false" ht="18" hidden="false" customHeight="true" outlineLevel="0" collapsed="false">
      <c r="A35" s="4" t="s">
        <v>53</v>
      </c>
      <c r="B35" s="6"/>
      <c r="C35" s="6"/>
      <c r="D35" s="6"/>
    </row>
    <row r="36" customFormat="false" ht="16.5" hidden="false" customHeight="true" outlineLevel="0" collapsed="false">
      <c r="A36" s="7" t="s">
        <v>54</v>
      </c>
      <c r="B36" s="8" t="n">
        <v>139086</v>
      </c>
      <c r="D36" s="9" t="s">
        <v>55</v>
      </c>
    </row>
    <row r="37" customFormat="false" ht="16.5" hidden="false" customHeight="true" outlineLevel="0" collapsed="false">
      <c r="A37" s="7" t="s">
        <v>56</v>
      </c>
      <c r="B37" s="8" t="n">
        <v>8763</v>
      </c>
      <c r="D37" s="9" t="s">
        <v>57</v>
      </c>
    </row>
    <row r="38" customFormat="false" ht="16.5" hidden="false" customHeight="true" outlineLevel="0" collapsed="false">
      <c r="A38" s="7" t="s">
        <v>58</v>
      </c>
      <c r="B38" s="10" t="n">
        <v>0.07</v>
      </c>
      <c r="D38" s="9" t="s">
        <v>59</v>
      </c>
    </row>
    <row r="39" customFormat="false" ht="16.5" hidden="false" customHeight="true" outlineLevel="0" collapsed="false">
      <c r="A39" s="7" t="s">
        <v>60</v>
      </c>
      <c r="B39" s="8" t="n">
        <v>0</v>
      </c>
      <c r="D39" s="9" t="s">
        <v>61</v>
      </c>
    </row>
    <row r="41" customFormat="false" ht="18" hidden="false" customHeight="true" outlineLevel="0" collapsed="false">
      <c r="A41" s="4" t="s">
        <v>62</v>
      </c>
      <c r="B41" s="6"/>
      <c r="C41" s="6"/>
      <c r="D41" s="6"/>
    </row>
    <row r="42" customFormat="false" ht="16.5" hidden="false" customHeight="true" outlineLevel="0" collapsed="false">
      <c r="A42" s="7" t="s">
        <v>63</v>
      </c>
      <c r="B42" s="14" t="n">
        <v>2027</v>
      </c>
      <c r="D42" s="9" t="s">
        <v>64</v>
      </c>
    </row>
    <row r="43" customFormat="false" ht="16.5" hidden="false" customHeight="true" outlineLevel="0" collapsed="false">
      <c r="A43" s="7" t="s">
        <v>65</v>
      </c>
      <c r="B43" s="12" t="n">
        <v>37596</v>
      </c>
      <c r="D43" s="9" t="s">
        <v>66</v>
      </c>
    </row>
    <row r="44" customFormat="false" ht="16.5" hidden="false" customHeight="true" outlineLevel="0" collapsed="false">
      <c r="A44" s="7" t="s">
        <v>67</v>
      </c>
      <c r="B44" s="10" t="n">
        <v>0.04</v>
      </c>
      <c r="D44" s="9" t="s">
        <v>68</v>
      </c>
    </row>
    <row r="45" customFormat="false" ht="16.5" hidden="false" customHeight="true" outlineLevel="0" collapsed="false">
      <c r="A45" s="7" t="s">
        <v>69</v>
      </c>
      <c r="B45" s="14" t="n">
        <v>6</v>
      </c>
      <c r="D45" s="9" t="s">
        <v>70</v>
      </c>
    </row>
    <row r="47" customFormat="false" ht="18" hidden="false" customHeight="true" outlineLevel="0" collapsed="false">
      <c r="A47" s="4" t="s">
        <v>71</v>
      </c>
      <c r="B47" s="6"/>
      <c r="C47" s="6"/>
      <c r="D47" s="6"/>
    </row>
    <row r="48" customFormat="false" ht="16.5" hidden="false" customHeight="true" outlineLevel="0" collapsed="false">
      <c r="A48" s="7" t="s">
        <v>72</v>
      </c>
      <c r="B48" s="8" t="n">
        <v>92700</v>
      </c>
      <c r="D48" s="9" t="s">
        <v>73</v>
      </c>
    </row>
    <row r="49" customFormat="false" ht="16.5" hidden="false" customHeight="true" outlineLevel="0" collapsed="false">
      <c r="A49" s="7" t="s">
        <v>74</v>
      </c>
      <c r="B49" s="8" t="n">
        <v>18000</v>
      </c>
      <c r="D49" s="9" t="s">
        <v>75</v>
      </c>
    </row>
    <row r="50" customFormat="false" ht="16.5" hidden="false" customHeight="true" outlineLevel="0" collapsed="false">
      <c r="A50" s="7" t="s">
        <v>76</v>
      </c>
      <c r="B50" s="10" t="n">
        <v>0.03</v>
      </c>
      <c r="D50" s="9" t="s">
        <v>77</v>
      </c>
    </row>
    <row r="51" customFormat="false" ht="16.5" hidden="false" customHeight="true" outlineLevel="0" collapsed="false">
      <c r="A51" s="7" t="s">
        <v>78</v>
      </c>
      <c r="B51" s="10" t="n">
        <v>0.7</v>
      </c>
      <c r="D51" s="9" t="s">
        <v>79</v>
      </c>
    </row>
    <row r="52" customFormat="false" ht="16.5" hidden="false" customHeight="true" outlineLevel="0" collapsed="false">
      <c r="A52" s="7" t="s">
        <v>80</v>
      </c>
      <c r="B52" s="10" t="n">
        <v>0.3</v>
      </c>
      <c r="D52" s="9" t="s">
        <v>81</v>
      </c>
    </row>
    <row r="54" customFormat="false" ht="18" hidden="false" customHeight="true" outlineLevel="0" collapsed="false">
      <c r="A54" s="4" t="s">
        <v>82</v>
      </c>
      <c r="B54" s="6"/>
      <c r="C54" s="6"/>
      <c r="D54" s="6"/>
    </row>
    <row r="55" customFormat="false" ht="16.5" hidden="false" customHeight="true" outlineLevel="0" collapsed="false">
      <c r="A55" s="7" t="s">
        <v>83</v>
      </c>
      <c r="B55" s="10" t="n">
        <v>0.47</v>
      </c>
      <c r="D55" s="9" t="s">
        <v>84</v>
      </c>
    </row>
    <row r="56" customFormat="false" ht="16.5" hidden="false" customHeight="true" outlineLevel="0" collapsed="false">
      <c r="A56" s="7" t="s">
        <v>85</v>
      </c>
      <c r="B56" s="10" t="n">
        <v>0.47</v>
      </c>
      <c r="D56" s="9" t="s">
        <v>84</v>
      </c>
    </row>
    <row r="57" customFormat="false" ht="16.5" hidden="false" customHeight="true" outlineLevel="0" collapsed="false">
      <c r="A57" s="7" t="s">
        <v>86</v>
      </c>
      <c r="B57" s="10" t="n">
        <v>0.15</v>
      </c>
      <c r="D57" s="9" t="s">
        <v>87</v>
      </c>
    </row>
    <row r="58" customFormat="false" ht="16.5" hidden="false" customHeight="true" outlineLevel="0" collapsed="false">
      <c r="A58" s="7" t="s">
        <v>88</v>
      </c>
      <c r="B58" s="10" t="n">
        <v>0.5</v>
      </c>
      <c r="D58" s="9" t="s">
        <v>89</v>
      </c>
    </row>
    <row r="60" customFormat="false" ht="18" hidden="false" customHeight="true" outlineLevel="0" collapsed="false">
      <c r="A60" s="4" t="s">
        <v>90</v>
      </c>
      <c r="B60" s="6"/>
      <c r="C60" s="6"/>
      <c r="D60" s="6"/>
    </row>
    <row r="61" customFormat="false" ht="16.5" hidden="false" customHeight="true" outlineLevel="0" collapsed="false">
      <c r="A61" s="7" t="s">
        <v>91</v>
      </c>
      <c r="B61" s="8" t="n">
        <v>70000</v>
      </c>
      <c r="D61" s="9" t="s">
        <v>92</v>
      </c>
    </row>
    <row r="62" customFormat="false" ht="16.5" hidden="false" customHeight="true" outlineLevel="0" collapsed="false">
      <c r="A62" s="7" t="s">
        <v>93</v>
      </c>
      <c r="B62" s="15" t="n">
        <v>2027</v>
      </c>
      <c r="D62" s="9" t="s">
        <v>94</v>
      </c>
    </row>
    <row r="63" customFormat="false" ht="16.5" hidden="false" customHeight="true" outlineLevel="0" collapsed="false">
      <c r="A63" s="7" t="s">
        <v>95</v>
      </c>
      <c r="B63" s="15" t="n">
        <v>7</v>
      </c>
      <c r="D63" s="9" t="s">
        <v>96</v>
      </c>
    </row>
    <row r="64" customFormat="false" ht="16.5" hidden="false" customHeight="true" outlineLevel="0" collapsed="false">
      <c r="A64" s="7" t="s">
        <v>97</v>
      </c>
      <c r="B64" s="8" t="n">
        <v>12524</v>
      </c>
      <c r="D64" s="9" t="s">
        <v>98</v>
      </c>
    </row>
    <row r="65" customFormat="false" ht="16.5" hidden="false" customHeight="true" outlineLevel="0" collapsed="false">
      <c r="A65" s="7" t="s">
        <v>99</v>
      </c>
      <c r="B65" s="8" t="n">
        <v>6264</v>
      </c>
      <c r="D65" s="9" t="s">
        <v>100</v>
      </c>
    </row>
    <row r="67" customFormat="false" ht="18" hidden="false" customHeight="true" outlineLevel="0" collapsed="false">
      <c r="A67" s="4" t="s">
        <v>101</v>
      </c>
      <c r="B67" s="6"/>
      <c r="C67" s="6"/>
      <c r="D67" s="6"/>
    </row>
    <row r="68" customFormat="false" ht="16.5" hidden="false" customHeight="true" outlineLevel="0" collapsed="false">
      <c r="A68" s="7" t="s">
        <v>102</v>
      </c>
      <c r="B68" s="8" t="n">
        <v>8000</v>
      </c>
      <c r="D68" s="9" t="s">
        <v>103</v>
      </c>
    </row>
    <row r="69" customFormat="false" ht="16.5" hidden="false" customHeight="true" outlineLevel="0" collapsed="false">
      <c r="A69" s="7" t="s">
        <v>104</v>
      </c>
      <c r="B69" s="8" t="n">
        <v>5000</v>
      </c>
      <c r="D69" s="9" t="s">
        <v>105</v>
      </c>
    </row>
    <row r="70" customFormat="false" ht="16.5" hidden="false" customHeight="true" outlineLevel="0" collapsed="false">
      <c r="A70" s="7" t="s">
        <v>106</v>
      </c>
      <c r="B70" s="8" t="n">
        <v>0</v>
      </c>
      <c r="D70" s="9" t="s">
        <v>107</v>
      </c>
    </row>
    <row r="71" customFormat="false" ht="16.5" hidden="false" customHeight="true" outlineLevel="0" collapsed="false">
      <c r="A71" s="7" t="s">
        <v>108</v>
      </c>
      <c r="B71" s="8" t="n">
        <v>0</v>
      </c>
      <c r="D71" s="9" t="s">
        <v>107</v>
      </c>
    </row>
    <row r="73" customFormat="false" ht="18" hidden="false" customHeight="true" outlineLevel="0" collapsed="false">
      <c r="A73" s="4" t="s">
        <v>109</v>
      </c>
      <c r="B73" s="16"/>
      <c r="C73" s="16"/>
      <c r="D73" s="16"/>
    </row>
    <row r="74" customFormat="false" ht="16.5" hidden="false" customHeight="true" outlineLevel="0" collapsed="false">
      <c r="A74" s="7" t="s">
        <v>27</v>
      </c>
      <c r="B74" s="12" t="n">
        <f aca="false">B18</f>
        <v>1497.87</v>
      </c>
      <c r="D74" s="9" t="s">
        <v>110</v>
      </c>
    </row>
    <row r="75" customFormat="false" ht="16.5" hidden="false" customHeight="true" outlineLevel="0" collapsed="false">
      <c r="A75" s="7" t="s">
        <v>111</v>
      </c>
      <c r="B75" s="12" t="n">
        <v>267.44</v>
      </c>
      <c r="D75" s="9" t="s">
        <v>112</v>
      </c>
    </row>
    <row r="76" customFormat="false" ht="16.5" hidden="false" customHeight="true" outlineLevel="0" collapsed="false">
      <c r="A76" s="7" t="s">
        <v>113</v>
      </c>
      <c r="B76" s="12" t="n">
        <v>8</v>
      </c>
      <c r="D76" s="9" t="s">
        <v>114</v>
      </c>
    </row>
    <row r="77" customFormat="false" ht="16.5" hidden="false" customHeight="true" outlineLevel="0" collapsed="false">
      <c r="A77" s="7" t="s">
        <v>115</v>
      </c>
      <c r="B77" s="12" t="n">
        <v>26000</v>
      </c>
      <c r="D77" s="9" t="s">
        <v>116</v>
      </c>
    </row>
    <row r="78" customFormat="false" ht="16.5" hidden="false" customHeight="true" outlineLevel="0" collapsed="false">
      <c r="A78" s="7" t="s">
        <v>117</v>
      </c>
      <c r="B78" s="12" t="n">
        <v>20000</v>
      </c>
      <c r="D78" s="9" t="s">
        <v>118</v>
      </c>
    </row>
    <row r="80" customFormat="false" ht="18" hidden="false" customHeight="true" outlineLevel="0" collapsed="false">
      <c r="A80" s="4" t="s">
        <v>119</v>
      </c>
      <c r="B80" s="16"/>
      <c r="C80" s="16"/>
      <c r="D80" s="16"/>
    </row>
    <row r="81" customFormat="false" ht="16.5" hidden="false" customHeight="true" outlineLevel="0" collapsed="false">
      <c r="A81" s="7" t="s">
        <v>120</v>
      </c>
      <c r="B81" s="17" t="n">
        <v>4</v>
      </c>
      <c r="D81" s="9" t="s">
        <v>121</v>
      </c>
    </row>
    <row r="82" customFormat="false" ht="16.5" hidden="false" customHeight="true" outlineLevel="0" collapsed="false">
      <c r="A82" s="7" t="s">
        <v>122</v>
      </c>
      <c r="B82" s="18" t="n">
        <v>1</v>
      </c>
      <c r="D82" s="9" t="s">
        <v>123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" min="2" style="0" width="13"/>
  </cols>
  <sheetData>
    <row r="1" customFormat="false" ht="30" hidden="false" customHeight="true" outlineLevel="0" collapsed="false">
      <c r="A1" s="2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 t="s">
        <v>125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9.5" hidden="false" customHeight="true" outlineLevel="0" collapsed="false">
      <c r="A3" s="16"/>
      <c r="B3" s="19" t="n">
        <v>2026</v>
      </c>
      <c r="C3" s="19" t="n">
        <v>2027</v>
      </c>
      <c r="D3" s="19" t="n">
        <v>2028</v>
      </c>
      <c r="E3" s="19" t="n">
        <v>2029</v>
      </c>
      <c r="F3" s="19" t="n">
        <v>2030</v>
      </c>
      <c r="G3" s="19" t="n">
        <v>2031</v>
      </c>
      <c r="H3" s="19" t="n">
        <v>2032</v>
      </c>
      <c r="I3" s="19" t="n">
        <v>2033</v>
      </c>
      <c r="J3" s="19" t="n">
        <v>2034</v>
      </c>
      <c r="K3" s="19" t="n">
        <v>2035</v>
      </c>
    </row>
    <row r="4" customFormat="false" ht="13.5" hidden="false" customHeight="true" outlineLevel="0" collapsed="false">
      <c r="A4" s="20" t="s">
        <v>126</v>
      </c>
      <c r="B4" s="21"/>
      <c r="C4" s="22" t="s">
        <v>127</v>
      </c>
      <c r="D4" s="22" t="s">
        <v>128</v>
      </c>
      <c r="E4" s="22" t="s">
        <v>129</v>
      </c>
      <c r="F4" s="22" t="s">
        <v>130</v>
      </c>
      <c r="G4" s="22" t="s">
        <v>131</v>
      </c>
      <c r="H4" s="22" t="s">
        <v>132</v>
      </c>
      <c r="I4" s="21"/>
      <c r="J4" s="21"/>
      <c r="K4" s="21"/>
    </row>
    <row r="5" customFormat="false" ht="19.5" hidden="false" customHeight="true" outlineLevel="0" collapsed="false">
      <c r="A5" s="23" t="s">
        <v>133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customFormat="false" ht="16.5" hidden="false" customHeight="true" outlineLevel="0" collapsed="false">
      <c r="A6" s="7" t="s">
        <v>134</v>
      </c>
      <c r="B6" s="24" t="n">
        <f aca="false">Assumptions!B5</f>
        <v>190000</v>
      </c>
      <c r="C6" s="24" t="n">
        <f aca="false">B6*(1+Assumptions!B10)</f>
        <v>195700</v>
      </c>
      <c r="D6" s="24" t="n">
        <f aca="false">C6*(1+Assumptions!B10)</f>
        <v>201571</v>
      </c>
      <c r="E6" s="24" t="n">
        <f aca="false">D6*(1+Assumptions!B10)</f>
        <v>207618.13</v>
      </c>
      <c r="F6" s="24" t="n">
        <f aca="false">E6*(1+Assumptions!B10)</f>
        <v>213846.6739</v>
      </c>
      <c r="G6" s="24" t="n">
        <f aca="false">F6*(1+Assumptions!B10)</f>
        <v>220262.074117</v>
      </c>
      <c r="H6" s="24" t="n">
        <f aca="false">G6*(1+Assumptions!B10)</f>
        <v>226869.93634051</v>
      </c>
      <c r="I6" s="24" t="n">
        <f aca="false">H6*(1+Assumptions!B10)</f>
        <v>233676.034430725</v>
      </c>
      <c r="J6" s="24" t="n">
        <f aca="false">I6*(1+Assumptions!B10)</f>
        <v>240686.315463647</v>
      </c>
      <c r="K6" s="24" t="n">
        <f aca="false">J6*(1+Assumptions!B10)</f>
        <v>247906.904927557</v>
      </c>
    </row>
    <row r="7" customFormat="false" ht="16.5" hidden="false" customHeight="true" outlineLevel="0" collapsed="false">
      <c r="A7" s="7" t="s">
        <v>135</v>
      </c>
      <c r="B7" s="24" t="n">
        <f aca="false">Assumptions!B6</f>
        <v>200000</v>
      </c>
      <c r="C7" s="24" t="n">
        <f aca="false">B7*(1+Assumptions!B10)*Assumptions!B82</f>
        <v>206000</v>
      </c>
      <c r="D7" s="24" t="n">
        <f aca="false">C7*(1+Assumptions!B10)</f>
        <v>212180</v>
      </c>
      <c r="E7" s="24" t="n">
        <f aca="false">D7*(1+Assumptions!B10)</f>
        <v>218545.4</v>
      </c>
      <c r="F7" s="24" t="n">
        <f aca="false">E7*(1+Assumptions!B10)</f>
        <v>225101.762</v>
      </c>
      <c r="G7" s="24" t="n">
        <f aca="false">F7*(1+Assumptions!B10)</f>
        <v>231854.81486</v>
      </c>
      <c r="H7" s="24" t="n">
        <f aca="false">G7*(1+Assumptions!B10)</f>
        <v>238810.4593058</v>
      </c>
      <c r="I7" s="24" t="n">
        <f aca="false">H7*(1+Assumptions!B10)</f>
        <v>245974.773084974</v>
      </c>
      <c r="J7" s="24" t="n">
        <f aca="false">I7*(1+Assumptions!B10)</f>
        <v>253354.016277523</v>
      </c>
      <c r="K7" s="24" t="n">
        <f aca="false">J7*(1+Assumptions!B10)</f>
        <v>260954.636765849</v>
      </c>
    </row>
    <row r="8" customFormat="false" ht="16.5" hidden="false" customHeight="true" outlineLevel="0" collapsed="false">
      <c r="A8" s="25" t="s">
        <v>136</v>
      </c>
      <c r="B8" s="26" t="n">
        <f aca="false">0</f>
        <v>0</v>
      </c>
      <c r="C8" s="26" t="n">
        <f aca="false">-C7*Assumptions!B81/12</f>
        <v>-68666.6666666667</v>
      </c>
      <c r="D8" s="26" t="n">
        <f aca="false">0</f>
        <v>0</v>
      </c>
      <c r="E8" s="26" t="n">
        <f aca="false">0</f>
        <v>0</v>
      </c>
      <c r="F8" s="26" t="n">
        <f aca="false">0</f>
        <v>0</v>
      </c>
      <c r="G8" s="26" t="n">
        <f aca="false">0</f>
        <v>0</v>
      </c>
      <c r="H8" s="26" t="n">
        <f aca="false">0</f>
        <v>0</v>
      </c>
      <c r="I8" s="26" t="n">
        <f aca="false">0</f>
        <v>0</v>
      </c>
      <c r="J8" s="26" t="n">
        <f aca="false">0</f>
        <v>0</v>
      </c>
      <c r="K8" s="26" t="n">
        <f aca="false">0</f>
        <v>0</v>
      </c>
    </row>
    <row r="9" customFormat="false" ht="16.5" hidden="false" customHeight="true" outlineLevel="0" collapsed="false">
      <c r="A9" s="25" t="s">
        <v>137</v>
      </c>
      <c r="B9" s="26" t="n">
        <f aca="false">IF(2026=Assumptions!B62,MIN(Assumptions!B61,Assumptions!B64+Assumptions!B63*Assumptions!B65)+MAX(0,Assumptions!B61-(Assumptions!B64+Assumptions!B63*Assumptions!B65))*0.68,0)</f>
        <v>0</v>
      </c>
      <c r="C9" s="26" t="n">
        <f aca="false">IF(2027=Assumptions!B62,MIN(Assumptions!B61,Assumptions!B64+Assumptions!B63*Assumptions!B65)+MAX(0,Assumptions!B61-(Assumptions!B64+Assumptions!B63*Assumptions!B65))*0.68,0)</f>
        <v>65639.04</v>
      </c>
      <c r="D9" s="26" t="n">
        <f aca="false">IF(2028=Assumptions!B62,MIN(Assumptions!B61,Assumptions!B64+Assumptions!B63*Assumptions!B65)+MAX(0,Assumptions!B61-(Assumptions!B64+Assumptions!B63*Assumptions!B65))*0.68,0)</f>
        <v>0</v>
      </c>
      <c r="E9" s="26" t="n">
        <f aca="false">IF(2029=Assumptions!B62,MIN(Assumptions!B61,Assumptions!B64+Assumptions!B63*Assumptions!B65)+MAX(0,Assumptions!B61-(Assumptions!B64+Assumptions!B63*Assumptions!B65))*0.68,0)</f>
        <v>0</v>
      </c>
      <c r="F9" s="26" t="n">
        <f aca="false">IF(2030=Assumptions!B62,MIN(Assumptions!B61,Assumptions!B64+Assumptions!B63*Assumptions!B65)+MAX(0,Assumptions!B61-(Assumptions!B64+Assumptions!B63*Assumptions!B65))*0.68,0)</f>
        <v>0</v>
      </c>
      <c r="G9" s="26" t="n">
        <f aca="false">IF(2031=Assumptions!B62,MIN(Assumptions!B61,Assumptions!B64+Assumptions!B63*Assumptions!B65)+MAX(0,Assumptions!B61-(Assumptions!B64+Assumptions!B63*Assumptions!B65))*0.68,0)</f>
        <v>0</v>
      </c>
      <c r="H9" s="26" t="n">
        <f aca="false">IF(2032=Assumptions!B62,MIN(Assumptions!B61,Assumptions!B64+Assumptions!B63*Assumptions!B65)+MAX(0,Assumptions!B61-(Assumptions!B64+Assumptions!B63*Assumptions!B65))*0.68,0)</f>
        <v>0</v>
      </c>
      <c r="I9" s="26" t="n">
        <f aca="false">IF(2033=Assumptions!B62,MIN(Assumptions!B61,Assumptions!B64+Assumptions!B63*Assumptions!B65)+MAX(0,Assumptions!B61-(Assumptions!B64+Assumptions!B63*Assumptions!B65))*0.68,0)</f>
        <v>0</v>
      </c>
      <c r="J9" s="26" t="n">
        <f aca="false">IF(2034=Assumptions!B62,MIN(Assumptions!B61,Assumptions!B64+Assumptions!B63*Assumptions!B65)+MAX(0,Assumptions!B61-(Assumptions!B64+Assumptions!B63*Assumptions!B65))*0.68,0)</f>
        <v>0</v>
      </c>
      <c r="K9" s="26" t="n">
        <f aca="false">IF(2035=Assumptions!B62,MIN(Assumptions!B61,Assumptions!B64+Assumptions!B63*Assumptions!B65)+MAX(0,Assumptions!B61-(Assumptions!B64+Assumptions!B63*Assumptions!B65))*0.68,0)</f>
        <v>0</v>
      </c>
    </row>
    <row r="10" customFormat="false" ht="16.5" hidden="false" customHeight="true" outlineLevel="0" collapsed="false">
      <c r="A10" s="7" t="s">
        <v>138</v>
      </c>
      <c r="B10" s="27" t="n">
        <f aca="false">B6*Assumptions!B8*Assumptions!B9</f>
        <v>22800</v>
      </c>
      <c r="C10" s="27" t="n">
        <f aca="false">C6*Assumptions!B8*Assumptions!B9</f>
        <v>23484</v>
      </c>
      <c r="D10" s="27" t="n">
        <f aca="false">D6*Assumptions!B8*Assumptions!B9</f>
        <v>24188.52</v>
      </c>
      <c r="E10" s="27" t="n">
        <f aca="false">E6*Assumptions!B8*Assumptions!B9</f>
        <v>24914.1756</v>
      </c>
      <c r="F10" s="27" t="n">
        <f aca="false">F6*Assumptions!B8*Assumptions!B9</f>
        <v>25661.600868</v>
      </c>
      <c r="G10" s="27" t="n">
        <f aca="false">G6*Assumptions!B8*Assumptions!B9</f>
        <v>26431.44889404</v>
      </c>
      <c r="H10" s="27" t="n">
        <f aca="false">H6*Assumptions!B8*Assumptions!B9</f>
        <v>27224.3923608612</v>
      </c>
      <c r="I10" s="27" t="n">
        <f aca="false">I6*Assumptions!B8*Assumptions!B9</f>
        <v>28041.124131687</v>
      </c>
      <c r="J10" s="27" t="n">
        <f aca="false">J6*Assumptions!B8*Assumptions!B9</f>
        <v>28882.3578556377</v>
      </c>
      <c r="K10" s="27" t="n">
        <f aca="false">K6*Assumptions!B8*Assumptions!B9</f>
        <v>29748.8285913068</v>
      </c>
    </row>
    <row r="11" customFormat="false" ht="16.5" hidden="false" customHeight="true" outlineLevel="0" collapsed="false">
      <c r="A11" s="28" t="s">
        <v>139</v>
      </c>
      <c r="B11" s="29" t="n">
        <f aca="false">B6+B7+B8+B10</f>
        <v>412800</v>
      </c>
      <c r="C11" s="29" t="n">
        <f aca="false">C6+C7+C8+C10</f>
        <v>356517.333333333</v>
      </c>
      <c r="D11" s="29" t="n">
        <f aca="false">D6+D7+D8+D10</f>
        <v>437939.52</v>
      </c>
      <c r="E11" s="29" t="n">
        <f aca="false">E6+E7+E8+E10</f>
        <v>451077.7056</v>
      </c>
      <c r="F11" s="29" t="n">
        <f aca="false">F6+F7+F8+F10</f>
        <v>464610.036768</v>
      </c>
      <c r="G11" s="29" t="n">
        <f aca="false">G6+G7+G8+G10</f>
        <v>478548.33787104</v>
      </c>
      <c r="H11" s="29" t="n">
        <f aca="false">H6+H7+H8+H10</f>
        <v>492904.788007171</v>
      </c>
      <c r="I11" s="29" t="n">
        <f aca="false">I6+I7+I8+I10</f>
        <v>507691.931647386</v>
      </c>
      <c r="J11" s="29" t="n">
        <f aca="false">J6+J7+J8+J10</f>
        <v>522922.689596808</v>
      </c>
      <c r="K11" s="29" t="n">
        <f aca="false">K6+K7+K8+K10</f>
        <v>538610.370284712</v>
      </c>
    </row>
    <row r="12" customFormat="false" ht="16.5" hidden="false" customHeight="true" outlineLevel="0" collapsed="false">
      <c r="A12" s="7" t="s">
        <v>140</v>
      </c>
      <c r="B12" s="27" t="n">
        <f aca="false">(B6+B10)*Assumptions!B7</f>
        <v>26600</v>
      </c>
      <c r="C12" s="27" t="n">
        <f aca="false">(C6+C10)*Assumptions!B7</f>
        <v>27398</v>
      </c>
      <c r="D12" s="27" t="n">
        <f aca="false">(D6+D10)*Assumptions!B7</f>
        <v>28219.94</v>
      </c>
      <c r="E12" s="27" t="n">
        <f aca="false">(E6+E10)*Assumptions!B7</f>
        <v>29066.5382</v>
      </c>
      <c r="F12" s="27" t="n">
        <f aca="false">(F6+F10)*Assumptions!B7</f>
        <v>29938.534346</v>
      </c>
      <c r="G12" s="27" t="n">
        <f aca="false">(G6+G10)*Assumptions!B7</f>
        <v>30836.69037638</v>
      </c>
      <c r="H12" s="27" t="n">
        <f aca="false">(H6+H10)*Assumptions!B7</f>
        <v>31761.7910876714</v>
      </c>
      <c r="I12" s="27" t="n">
        <f aca="false">(I6+I10)*Assumptions!B7</f>
        <v>32714.6448203016</v>
      </c>
      <c r="J12" s="27" t="n">
        <f aca="false">(J6+J10)*Assumptions!B7</f>
        <v>33696.0841649106</v>
      </c>
      <c r="K12" s="27" t="n">
        <f aca="false">(K6+K10)*Assumptions!B7</f>
        <v>34706.9666898579</v>
      </c>
    </row>
    <row r="13" customFormat="false" ht="16.5" hidden="false" customHeight="true" outlineLevel="0" collapsed="false">
      <c r="A13" s="7" t="s">
        <v>141</v>
      </c>
      <c r="B13" s="27" t="n">
        <f aca="false">(B7+B8)*Assumptions!B7</f>
        <v>25000</v>
      </c>
      <c r="C13" s="27" t="n">
        <f aca="false">(C7+C8)*Assumptions!B7</f>
        <v>17166.6666666667</v>
      </c>
      <c r="D13" s="27" t="n">
        <f aca="false">(D7+D8)*Assumptions!B7</f>
        <v>26522.5</v>
      </c>
      <c r="E13" s="27" t="n">
        <f aca="false">(E7+E8)*Assumptions!B7</f>
        <v>27318.175</v>
      </c>
      <c r="F13" s="27" t="n">
        <f aca="false">(F7+F8)*Assumptions!B7</f>
        <v>28137.72025</v>
      </c>
      <c r="G13" s="27" t="n">
        <f aca="false">(G7+G8)*Assumptions!B7</f>
        <v>28981.8518575</v>
      </c>
      <c r="H13" s="27" t="n">
        <f aca="false">(H7+H8)*Assumptions!B7</f>
        <v>29851.307413225</v>
      </c>
      <c r="I13" s="27" t="n">
        <f aca="false">(I7+I8)*Assumptions!B7</f>
        <v>30746.8466356218</v>
      </c>
      <c r="J13" s="27" t="n">
        <f aca="false">(J7+J8)*Assumptions!B7</f>
        <v>31669.2520346904</v>
      </c>
      <c r="K13" s="27" t="n">
        <f aca="false">(K7+K8)*Assumptions!B7</f>
        <v>32619.3295957311</v>
      </c>
    </row>
    <row r="14" customFormat="false" ht="16.5" hidden="false" customHeight="true" outlineLevel="0" collapsed="false">
      <c r="A14" s="7" t="s">
        <v>142</v>
      </c>
      <c r="B14" s="27" t="n">
        <f aca="false">(B6+B10)*0.666</f>
        <v>141724.8</v>
      </c>
      <c r="C14" s="27" t="n">
        <f aca="false">(C6+C10)*0.666</f>
        <v>145976.544</v>
      </c>
      <c r="D14" s="27" t="n">
        <f aca="false">(D6+D10)*0.666</f>
        <v>150355.84032</v>
      </c>
      <c r="E14" s="27" t="n">
        <f aca="false">(E6+E10)*0.666</f>
        <v>154866.5155296</v>
      </c>
      <c r="F14" s="27" t="n">
        <f aca="false">(F6+F10)*0.666</f>
        <v>159512.510995488</v>
      </c>
      <c r="G14" s="27" t="n">
        <f aca="false">(G6+G10)*0.666</f>
        <v>164297.886325353</v>
      </c>
      <c r="H14" s="27" t="n">
        <f aca="false">(H6+H10)*0.666</f>
        <v>169226.822915113</v>
      </c>
      <c r="I14" s="27" t="n">
        <f aca="false">(I6+I10)*0.666</f>
        <v>174303.627602567</v>
      </c>
      <c r="J14" s="27" t="n">
        <f aca="false">(J6+J10)*0.666</f>
        <v>179532.736430644</v>
      </c>
      <c r="K14" s="27" t="n">
        <f aca="false">(K6+K10)*0.666</f>
        <v>184918.718523563</v>
      </c>
    </row>
    <row r="15" customFormat="false" ht="16.5" hidden="false" customHeight="true" outlineLevel="0" collapsed="false">
      <c r="A15" s="7" t="s">
        <v>143</v>
      </c>
      <c r="B15" s="27" t="n">
        <f aca="false">(B7+B8)*0.666+B9</f>
        <v>133200</v>
      </c>
      <c r="C15" s="27" t="n">
        <f aca="false">(C7+C8)*0.666+C9</f>
        <v>157103.04</v>
      </c>
      <c r="D15" s="27" t="n">
        <f aca="false">(D7+D8)*0.666+D9</f>
        <v>141311.88</v>
      </c>
      <c r="E15" s="27" t="n">
        <f aca="false">(E7+E8)*0.666+E9</f>
        <v>145551.2364</v>
      </c>
      <c r="F15" s="27" t="n">
        <f aca="false">(F7+F8)*0.666+F9</f>
        <v>149917.773492</v>
      </c>
      <c r="G15" s="27" t="n">
        <f aca="false">(G7+G8)*0.666+G9</f>
        <v>154415.30669676</v>
      </c>
      <c r="H15" s="27" t="n">
        <f aca="false">(H7+H8)*0.666+H9</f>
        <v>159047.765897663</v>
      </c>
      <c r="I15" s="27" t="n">
        <f aca="false">(I7+I8)*0.666+I9</f>
        <v>163819.198874593</v>
      </c>
      <c r="J15" s="27" t="n">
        <f aca="false">(J7+J8)*0.666+J9</f>
        <v>168733.77484083</v>
      </c>
      <c r="K15" s="27" t="n">
        <f aca="false">(K7+K8)*0.666+K9</f>
        <v>173795.788086055</v>
      </c>
    </row>
    <row r="16" customFormat="false" ht="16.5" hidden="false" customHeight="true" outlineLevel="0" collapsed="false">
      <c r="A16" s="28" t="s">
        <v>144</v>
      </c>
      <c r="B16" s="29" t="n">
        <f aca="false">B14+B15</f>
        <v>274924.8</v>
      </c>
      <c r="C16" s="29" t="n">
        <f aca="false">C14+C15</f>
        <v>303079.584</v>
      </c>
      <c r="D16" s="29" t="n">
        <f aca="false">D14+D15</f>
        <v>291667.72032</v>
      </c>
      <c r="E16" s="29" t="n">
        <f aca="false">E14+E15</f>
        <v>300417.7519296</v>
      </c>
      <c r="F16" s="29" t="n">
        <f aca="false">F14+F15</f>
        <v>309430.284487488</v>
      </c>
      <c r="G16" s="29" t="n">
        <f aca="false">G14+G15</f>
        <v>318713.193022113</v>
      </c>
      <c r="H16" s="29" t="n">
        <f aca="false">H14+H15</f>
        <v>328274.588812776</v>
      </c>
      <c r="I16" s="29" t="n">
        <f aca="false">I14+I15</f>
        <v>338122.826477159</v>
      </c>
      <c r="J16" s="29" t="n">
        <f aca="false">J14+J15</f>
        <v>348266.511271474</v>
      </c>
      <c r="K16" s="29" t="n">
        <f aca="false">K14+K15</f>
        <v>358714.506609618</v>
      </c>
    </row>
    <row r="18" customFormat="false" ht="19.5" hidden="false" customHeight="true" outlineLevel="0" collapsed="false">
      <c r="A18" s="23" t="s">
        <v>145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customFormat="false" ht="16.5" hidden="false" customHeight="true" outlineLevel="0" collapsed="false">
      <c r="A19" s="7" t="s">
        <v>146</v>
      </c>
      <c r="B19" s="24" t="n">
        <f aca="false">(Assumptions!B17+Assumptions!B18)*12</f>
        <v>39000</v>
      </c>
      <c r="C19" s="24" t="n">
        <f aca="false">(Assumptions!B17+Assumptions!B18)*12</f>
        <v>39000</v>
      </c>
      <c r="D19" s="24" t="n">
        <f aca="false">(Assumptions!B17+Assumptions!B18)*12</f>
        <v>39000</v>
      </c>
      <c r="E19" s="24" t="n">
        <f aca="false">(Assumptions!B17+Assumptions!B18)*12</f>
        <v>39000</v>
      </c>
      <c r="F19" s="24" t="n">
        <f aca="false">(Assumptions!B17+Assumptions!B18)*12</f>
        <v>39000</v>
      </c>
      <c r="G19" s="24" t="n">
        <f aca="false">(Assumptions!B17+Assumptions!B18)*12</f>
        <v>39000</v>
      </c>
      <c r="H19" s="24" t="n">
        <f aca="false">(Assumptions!B17+Assumptions!B18)*12</f>
        <v>39000</v>
      </c>
      <c r="I19" s="24" t="n">
        <f aca="false">(Assumptions!B17+Assumptions!B18)*12</f>
        <v>39000</v>
      </c>
      <c r="J19" s="24" t="n">
        <f aca="false">(Assumptions!B17+Assumptions!B18)*12</f>
        <v>39000</v>
      </c>
      <c r="K19" s="24" t="n">
        <f aca="false">(Assumptions!B17+Assumptions!B18)*12</f>
        <v>39000</v>
      </c>
    </row>
    <row r="20" customFormat="false" ht="16.5" hidden="false" customHeight="true" outlineLevel="0" collapsed="false">
      <c r="A20" s="7" t="s">
        <v>147</v>
      </c>
      <c r="B20" s="24" t="n">
        <f aca="false">(Assumptions!B24+Assumptions!B75)*12</f>
        <v>39000</v>
      </c>
      <c r="C20" s="24" t="n">
        <f aca="false">(Assumptions!B24+Assumptions!B75)*12</f>
        <v>39000</v>
      </c>
      <c r="D20" s="24" t="n">
        <f aca="false">(Assumptions!B24+Assumptions!B75)*12</f>
        <v>39000</v>
      </c>
      <c r="E20" s="24" t="n">
        <f aca="false">(Assumptions!B24+Assumptions!B75)*12</f>
        <v>39000</v>
      </c>
      <c r="F20" s="24" t="n">
        <f aca="false">(Assumptions!B24+Assumptions!B75)*12</f>
        <v>39000</v>
      </c>
      <c r="G20" s="24" t="n">
        <f aca="false">(Assumptions!B24+Assumptions!B75)*12</f>
        <v>39000</v>
      </c>
      <c r="H20" s="24" t="n">
        <f aca="false">(Assumptions!B24+Assumptions!B75)*12</f>
        <v>39000</v>
      </c>
      <c r="I20" s="24" t="n">
        <f aca="false">(Assumptions!B24+Assumptions!B75)*12</f>
        <v>39000</v>
      </c>
      <c r="J20" s="24" t="n">
        <f aca="false">(Assumptions!B24+Assumptions!B75)*12</f>
        <v>39000</v>
      </c>
      <c r="K20" s="24" t="n">
        <f aca="false">(Assumptions!B24+Assumptions!B75)*12</f>
        <v>39000</v>
      </c>
    </row>
    <row r="21" customFormat="false" ht="16.5" hidden="false" customHeight="true" outlineLevel="0" collapsed="false">
      <c r="A21" s="7" t="s">
        <v>148</v>
      </c>
      <c r="B21" s="24" t="n">
        <f aca="false">Assumptions!B76*12</f>
        <v>96</v>
      </c>
      <c r="C21" s="24" t="n">
        <f aca="false">Assumptions!B76*12</f>
        <v>96</v>
      </c>
      <c r="D21" s="24" t="n">
        <f aca="false">Assumptions!B76*12</f>
        <v>96</v>
      </c>
      <c r="E21" s="24" t="n">
        <f aca="false">Assumptions!B76*12</f>
        <v>96</v>
      </c>
      <c r="F21" s="24" t="n">
        <f aca="false">Assumptions!B76*12</f>
        <v>96</v>
      </c>
      <c r="G21" s="24" t="n">
        <f aca="false">Assumptions!B76*12</f>
        <v>96</v>
      </c>
      <c r="H21" s="24" t="n">
        <f aca="false">Assumptions!B76*12</f>
        <v>96</v>
      </c>
      <c r="I21" s="24" t="n">
        <f aca="false">Assumptions!B76*12</f>
        <v>96</v>
      </c>
      <c r="J21" s="24" t="n">
        <f aca="false">Assumptions!B76*12</f>
        <v>96</v>
      </c>
      <c r="K21" s="24" t="n">
        <f aca="false">Assumptions!B76*12</f>
        <v>96</v>
      </c>
    </row>
    <row r="22" customFormat="false" ht="16.5" hidden="false" customHeight="true" outlineLevel="0" collapsed="false">
      <c r="A22" s="30" t="s">
        <v>149</v>
      </c>
      <c r="B22" s="31" t="n">
        <f aca="false">IF(AND(2026&gt;=Assumptions!B42,2026&lt;Assumptions!B42+Assumptions!B45),Assumptions!B43*(1+Assumptions!B44)^(2026-Assumptions!B42),0)</f>
        <v>0</v>
      </c>
      <c r="C22" s="31" t="n">
        <f aca="false">IF(AND(2027&gt;=Assumptions!B42,2027&lt;Assumptions!B42+Assumptions!B45),Assumptions!B43*(1+Assumptions!B44)^(2027-Assumptions!B42),0)</f>
        <v>37596</v>
      </c>
      <c r="D22" s="31" t="n">
        <f aca="false">IF(AND(2028&gt;=Assumptions!B42,2028&lt;Assumptions!B42+Assumptions!B45),Assumptions!B43*(1+Assumptions!B44)^(2028-Assumptions!B42),0)</f>
        <v>39099.84</v>
      </c>
      <c r="E22" s="31" t="n">
        <f aca="false">IF(AND(2029&gt;=Assumptions!B42,2029&lt;Assumptions!B42+Assumptions!B45),Assumptions!B43*(1+Assumptions!B44)^(2029-Assumptions!B42),0)</f>
        <v>40663.8336</v>
      </c>
      <c r="F22" s="31" t="n">
        <f aca="false">IF(AND(2030&gt;=Assumptions!B42,2030&lt;Assumptions!B42+Assumptions!B45),Assumptions!B43*(1+Assumptions!B44)^(2030-Assumptions!B42),0)</f>
        <v>42290.386944</v>
      </c>
      <c r="G22" s="31" t="n">
        <f aca="false">IF(AND(2031&gt;=Assumptions!B42,2031&lt;Assumptions!B42+Assumptions!B45),Assumptions!B43*(1+Assumptions!B44)^(2031-Assumptions!B42),0)</f>
        <v>43982.00242176</v>
      </c>
      <c r="H22" s="31" t="n">
        <f aca="false">IF(AND(2032&gt;=Assumptions!B42,2032&lt;Assumptions!B42+Assumptions!B45),Assumptions!B43*(1+Assumptions!B44)^(2032-Assumptions!B42),0)</f>
        <v>45741.2825186304</v>
      </c>
      <c r="I22" s="31" t="n">
        <f aca="false">IF(AND(2033&gt;=Assumptions!B42,2033&lt;Assumptions!B42+Assumptions!B45),Assumptions!B43*(1+Assumptions!B44)^(2033-Assumptions!B42),0)</f>
        <v>0</v>
      </c>
      <c r="J22" s="31" t="n">
        <f aca="false">IF(AND(2034&gt;=Assumptions!B42,2034&lt;Assumptions!B42+Assumptions!B45),Assumptions!B43*(1+Assumptions!B44)^(2034-Assumptions!B42),0)</f>
        <v>0</v>
      </c>
      <c r="K22" s="31" t="n">
        <f aca="false">IF(AND(2035&gt;=Assumptions!B42,2035&lt;Assumptions!B42+Assumptions!B45),Assumptions!B43*(1+Assumptions!B44)^(2035-Assumptions!B42),0)</f>
        <v>0</v>
      </c>
    </row>
    <row r="23" customFormat="false" ht="16.5" hidden="false" customHeight="true" outlineLevel="0" collapsed="false">
      <c r="A23" s="7" t="s">
        <v>150</v>
      </c>
      <c r="B23" s="24" t="n">
        <f aca="false">(Assumptions!B48+Assumptions!B49)</f>
        <v>110700</v>
      </c>
      <c r="C23" s="24" t="n">
        <f aca="false">B23*(1+Assumptions!B50)</f>
        <v>114021</v>
      </c>
      <c r="D23" s="24" t="n">
        <f aca="false">C23*(1+Assumptions!B50)</f>
        <v>117441.63</v>
      </c>
      <c r="E23" s="24" t="n">
        <f aca="false">D23*(1+Assumptions!B50)</f>
        <v>120964.8789</v>
      </c>
      <c r="F23" s="24" t="n">
        <f aca="false">E23*(1+Assumptions!B50)</f>
        <v>124593.825267</v>
      </c>
      <c r="G23" s="24" t="n">
        <f aca="false">F23*(1+Assumptions!B50)</f>
        <v>128331.64002501</v>
      </c>
      <c r="H23" s="24" t="n">
        <f aca="false">G23*(1+Assumptions!B50)</f>
        <v>132181.58922576</v>
      </c>
      <c r="I23" s="24" t="n">
        <f aca="false">H23*(1+Assumptions!B50)</f>
        <v>136147.036902533</v>
      </c>
      <c r="J23" s="24" t="n">
        <f aca="false">I23*(1+Assumptions!B50)</f>
        <v>140231.448009609</v>
      </c>
      <c r="K23" s="24" t="n">
        <f aca="false">J23*(1+Assumptions!B50)</f>
        <v>144438.391449897</v>
      </c>
    </row>
    <row r="24" customFormat="false" ht="16.5" hidden="false" customHeight="true" outlineLevel="0" collapsed="false">
      <c r="A24" s="25" t="s">
        <v>151</v>
      </c>
      <c r="B24" s="26" t="n">
        <f aca="false">Assumptions!B68+Assumptions!B69</f>
        <v>13000</v>
      </c>
      <c r="C24" s="26" t="n">
        <f aca="false">Assumptions!B68+Assumptions!B70</f>
        <v>8000</v>
      </c>
      <c r="D24" s="26" t="n">
        <f aca="false">Assumptions!B68+Assumptions!B71</f>
        <v>8000</v>
      </c>
      <c r="E24" s="26" t="n">
        <f aca="false">Assumptions!B68</f>
        <v>8000</v>
      </c>
      <c r="F24" s="26" t="n">
        <f aca="false">Assumptions!B68</f>
        <v>8000</v>
      </c>
      <c r="G24" s="26" t="n">
        <f aca="false">Assumptions!B68</f>
        <v>8000</v>
      </c>
      <c r="H24" s="26" t="n">
        <f aca="false">Assumptions!B68</f>
        <v>8000</v>
      </c>
      <c r="I24" s="26" t="n">
        <f aca="false">Assumptions!B68</f>
        <v>8000</v>
      </c>
      <c r="J24" s="26" t="n">
        <f aca="false">Assumptions!B68</f>
        <v>8000</v>
      </c>
      <c r="K24" s="26" t="n">
        <f aca="false">Assumptions!B68</f>
        <v>8000</v>
      </c>
    </row>
    <row r="25" customFormat="false" ht="16.5" hidden="false" customHeight="true" outlineLevel="0" collapsed="false">
      <c r="A25" s="32" t="s">
        <v>152</v>
      </c>
      <c r="B25" s="33" t="n">
        <f aca="false">B19+B20+B21+B22+B23+B24</f>
        <v>201796</v>
      </c>
      <c r="C25" s="33" t="n">
        <f aca="false">C19+C20+C21+C22+C23+C24</f>
        <v>237713</v>
      </c>
      <c r="D25" s="33" t="n">
        <f aca="false">D19+D20+D21+D22+D23+D24</f>
        <v>242637.47</v>
      </c>
      <c r="E25" s="33" t="n">
        <f aca="false">E19+E20+E21+E22+E23+E24</f>
        <v>247724.7125</v>
      </c>
      <c r="F25" s="33" t="n">
        <f aca="false">F19+F20+F21+F22+F23+F24</f>
        <v>252980.212211</v>
      </c>
      <c r="G25" s="33" t="n">
        <f aca="false">G19+G20+G21+G22+G23+G24</f>
        <v>258409.64244677</v>
      </c>
      <c r="H25" s="33" t="n">
        <f aca="false">H19+H20+H21+H22+H23+H24</f>
        <v>264018.871744391</v>
      </c>
      <c r="I25" s="33" t="n">
        <f aca="false">I19+I20+I21+I22+I23+I24</f>
        <v>222243.036902533</v>
      </c>
      <c r="J25" s="33" t="n">
        <f aca="false">J19+J20+J21+J22+J23+J24</f>
        <v>226327.448009609</v>
      </c>
      <c r="K25" s="33" t="n">
        <f aca="false">K19+K20+K21+K22+K23+K24</f>
        <v>230534.391449897</v>
      </c>
    </row>
    <row r="26" customFormat="false" ht="16.5" hidden="false" customHeight="true" outlineLevel="0" collapsed="false">
      <c r="A26" s="28" t="s">
        <v>153</v>
      </c>
      <c r="B26" s="29" t="n">
        <f aca="false">B16-B25</f>
        <v>73128.8000000001</v>
      </c>
      <c r="C26" s="29" t="n">
        <f aca="false">C16-C25</f>
        <v>65366.584</v>
      </c>
      <c r="D26" s="29" t="n">
        <f aca="false">D16-D25</f>
        <v>49030.25032</v>
      </c>
      <c r="E26" s="29" t="n">
        <f aca="false">E16-E25</f>
        <v>52693.0394296</v>
      </c>
      <c r="F26" s="29" t="n">
        <f aca="false">F16-F25</f>
        <v>56450.072276488</v>
      </c>
      <c r="G26" s="29" t="n">
        <f aca="false">G16-G25</f>
        <v>60303.5505753427</v>
      </c>
      <c r="H26" s="29" t="n">
        <f aca="false">H16-H25</f>
        <v>64255.7170683854</v>
      </c>
      <c r="I26" s="29" t="n">
        <f aca="false">I16-I25</f>
        <v>115879.789574626</v>
      </c>
      <c r="J26" s="29" t="n">
        <f aca="false">J16-J25</f>
        <v>121939.063261865</v>
      </c>
      <c r="K26" s="29" t="n">
        <f aca="false">K16-K25</f>
        <v>128180.115159721</v>
      </c>
    </row>
    <row r="28" customFormat="false" ht="19.5" hidden="false" customHeight="true" outlineLevel="0" collapsed="false">
      <c r="A28" s="23" t="s">
        <v>154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customFormat="false" ht="16.5" hidden="false" customHeight="true" outlineLevel="0" collapsed="false">
      <c r="A29" s="7" t="s">
        <v>21</v>
      </c>
      <c r="B29" s="27" t="n">
        <f aca="false">Assumptions!B15</f>
        <v>170106</v>
      </c>
      <c r="C29" s="27" t="n">
        <f aca="false">MAX(0,B29*(1+Assumptions!B16/12)^12-(Assumptions!B17+Assumptions!B18)*12)</f>
        <v>141400.195800818</v>
      </c>
      <c r="D29" s="27" t="n">
        <f aca="false">MAX(0,C29*(1+Assumptions!B16/12)^12-(Assumptions!B17+Assumptions!B18)*12)</f>
        <v>110957.220843131</v>
      </c>
      <c r="E29" s="27" t="n">
        <f aca="false">MAX(0,D29*(1+Assumptions!B16/12)^12-(Assumptions!B17+Assumptions!B18)*12)</f>
        <v>78671.9478772975</v>
      </c>
      <c r="F29" s="27" t="n">
        <f aca="false">MAX(0,E29*(1+Assumptions!B16/12)^12-(Assumptions!B17+Assumptions!B18)*12)</f>
        <v>44432.8877352724</v>
      </c>
      <c r="G29" s="27" t="n">
        <f aca="false">MAX(0,F29*(1+Assumptions!B16/12)^12-(Assumptions!B17+Assumptions!B18)*12)</f>
        <v>8121.80433046995</v>
      </c>
      <c r="H29" s="27" t="n">
        <f aca="false">MAX(0,G29*(1+Assumptions!B16/12)^12-(Assumptions!B17+Assumptions!B18)*12)</f>
        <v>0</v>
      </c>
      <c r="I29" s="27" t="n">
        <f aca="false">MAX(0,H29*(1+Assumptions!B16/12)^12-(Assumptions!B17+Assumptions!B18)*12)</f>
        <v>0</v>
      </c>
      <c r="J29" s="27" t="n">
        <f aca="false">MAX(0,I29*(1+Assumptions!B16/12)^12-(Assumptions!B17+Assumptions!B18)*12)</f>
        <v>0</v>
      </c>
      <c r="K29" s="27" t="n">
        <f aca="false">MAX(0,J29*(1+Assumptions!B16/12)^12-(Assumptions!B17+Assumptions!B18)*12)</f>
        <v>0</v>
      </c>
    </row>
    <row r="30" customFormat="false" ht="16.5" hidden="false" customHeight="true" outlineLevel="0" collapsed="false">
      <c r="A30" s="7" t="s">
        <v>33</v>
      </c>
      <c r="B30" s="27" t="n">
        <f aca="false">Assumptions!B22</f>
        <v>459344</v>
      </c>
      <c r="C30" s="27" t="n">
        <f aca="false">MAX(0,B30*(1+Assumptions!B23/12)^12+Assumptions!B76*12-(Assumptions!B24+Assumptions!B75)*12)</f>
        <v>448722.810117282</v>
      </c>
      <c r="D30" s="27" t="n">
        <f aca="false">MAX(0,C30*(1+Assumptions!B23/12)^12+Assumptions!B76*12-(Assumptions!B24+Assumptions!B75)*12)</f>
        <v>437447.650450104</v>
      </c>
      <c r="E30" s="27" t="n">
        <f aca="false">MAX(0,D30*(1+Assumptions!B23/12)^12+Assumptions!B76*12-(Assumptions!B24+Assumptions!B75)*12)</f>
        <v>425478.254655082</v>
      </c>
      <c r="F30" s="27" t="n">
        <f aca="false">MAX(0,E30*(1+Assumptions!B23/12)^12+Assumptions!B76*12-(Assumptions!B24+Assumptions!B75)*12)</f>
        <v>412771.877102403</v>
      </c>
      <c r="G30" s="27" t="n">
        <f aca="false">MAX(0,F30*(1+Assumptions!B23/12)^12+Assumptions!B76*12-(Assumptions!B24+Assumptions!B75)*12)</f>
        <v>399283.140220765</v>
      </c>
      <c r="H30" s="27" t="n">
        <f aca="false">MAX(0,G30*(1+Assumptions!B23/12)^12+Assumptions!B76*12-(Assumptions!B24+Assumptions!B75)*12)</f>
        <v>384963.872443012</v>
      </c>
      <c r="I30" s="27" t="n">
        <f aca="false">MAX(0,H30*(1+Assumptions!B23/12)^12+Assumptions!B76*12-(Assumptions!B24+Assumptions!B75)*12)</f>
        <v>369762.936173722</v>
      </c>
      <c r="J30" s="27" t="n">
        <f aca="false">MAX(0,I30*(1+Assumptions!B23/12)^12+Assumptions!B76*12-(Assumptions!B24+Assumptions!B75)*12)</f>
        <v>353626.045164391</v>
      </c>
      <c r="K30" s="27" t="n">
        <f aca="false">MAX(0,J30*(1+Assumptions!B23/12)^12+Assumptions!B76*12-(Assumptions!B24+Assumptions!B75)*12)</f>
        <v>336495.570644009</v>
      </c>
    </row>
    <row r="31" customFormat="false" ht="16.5" hidden="false" customHeight="true" outlineLevel="0" collapsed="false">
      <c r="A31" s="34" t="s">
        <v>155</v>
      </c>
      <c r="B31" s="35" t="n">
        <f aca="false">B29+B30</f>
        <v>629450</v>
      </c>
      <c r="C31" s="35" t="n">
        <f aca="false">C29+C30</f>
        <v>590123.0059181</v>
      </c>
      <c r="D31" s="35" t="n">
        <f aca="false">D29+D30</f>
        <v>548404.871293236</v>
      </c>
      <c r="E31" s="35" t="n">
        <f aca="false">E29+E30</f>
        <v>504150.202532379</v>
      </c>
      <c r="F31" s="35" t="n">
        <f aca="false">F29+F30</f>
        <v>457204.764837675</v>
      </c>
      <c r="G31" s="35" t="n">
        <f aca="false">G29+G30</f>
        <v>407404.944551235</v>
      </c>
      <c r="H31" s="35" t="n">
        <f aca="false">H29+H30</f>
        <v>384963.872443012</v>
      </c>
      <c r="I31" s="35" t="n">
        <f aca="false">I29+I30</f>
        <v>369762.936173722</v>
      </c>
      <c r="J31" s="35" t="n">
        <f aca="false">J29+J30</f>
        <v>353626.045164391</v>
      </c>
      <c r="K31" s="35" t="n">
        <f aca="false">K29+K30</f>
        <v>336495.570644009</v>
      </c>
    </row>
    <row r="33" customFormat="false" ht="19.5" hidden="false" customHeight="true" outlineLevel="0" collapsed="false">
      <c r="A33" s="23" t="s">
        <v>156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customFormat="false" ht="16.5" hidden="false" customHeight="true" outlineLevel="0" collapsed="false">
      <c r="A34" s="7" t="s">
        <v>157</v>
      </c>
      <c r="B34" s="24" t="n">
        <f aca="false">Assumptions!B19</f>
        <v>17350</v>
      </c>
      <c r="C34" s="24" t="n">
        <f aca="false">MIN(C29,B34+Assumptions!B77)</f>
        <v>43350</v>
      </c>
      <c r="D34" s="24" t="n">
        <f aca="false">MIN(D29,C34+Assumptions!B77)</f>
        <v>69350</v>
      </c>
      <c r="E34" s="24" t="n">
        <f aca="false">MIN(E29,D34+Assumptions!B77)</f>
        <v>78671.9478772975</v>
      </c>
      <c r="F34" s="24" t="n">
        <f aca="false">MIN(F29,E34+Assumptions!B77)</f>
        <v>44432.8877352724</v>
      </c>
      <c r="G34" s="24" t="n">
        <f aca="false">MIN(G29,F34+Assumptions!B77)</f>
        <v>8121.80433046995</v>
      </c>
      <c r="H34" s="24" t="n">
        <f aca="false">MIN(H29,G34+Assumptions!B77)</f>
        <v>0</v>
      </c>
      <c r="I34" s="24" t="n">
        <f aca="false">MIN(I29,H34+Assumptions!B77)</f>
        <v>0</v>
      </c>
      <c r="J34" s="24" t="n">
        <f aca="false">MIN(J29,I34+Assumptions!B77)</f>
        <v>0</v>
      </c>
      <c r="K34" s="24" t="n">
        <f aca="false">MIN(K29,J34+Assumptions!B77)</f>
        <v>0</v>
      </c>
    </row>
    <row r="35" customFormat="false" ht="16.5" hidden="false" customHeight="true" outlineLevel="0" collapsed="false">
      <c r="A35" s="7" t="s">
        <v>158</v>
      </c>
      <c r="B35" s="24" t="n">
        <f aca="false">Assumptions!B25</f>
        <v>200014</v>
      </c>
      <c r="C35" s="24" t="n">
        <f aca="false">MAX(0,B35+C26+MAX(0,B34+Assumptions!B77-C29))</f>
        <v>265380.584</v>
      </c>
      <c r="D35" s="24" t="n">
        <f aca="false">MAX(0,C35+D26+MAX(0,C34+Assumptions!B77-D29))</f>
        <v>314410.83432</v>
      </c>
      <c r="E35" s="24" t="n">
        <f aca="false">MAX(0,D35+E26+MAX(0,D34+Assumptions!B77-E29))</f>
        <v>383781.925872302</v>
      </c>
      <c r="F35" s="24" t="n">
        <f aca="false">MAX(0,E35+F26+MAX(0,E34+Assumptions!B77-F29))</f>
        <v>500471.058290816</v>
      </c>
      <c r="G35" s="24" t="n">
        <f aca="false">MAX(0,F35+G26+MAX(0,F34+Assumptions!B77-G29))</f>
        <v>623085.692270961</v>
      </c>
      <c r="H35" s="24" t="n">
        <f aca="false">MAX(0,G35+H26+MAX(0,G34+Assumptions!B77-H29))</f>
        <v>721463.213669816</v>
      </c>
      <c r="I35" s="24" t="n">
        <f aca="false">MAX(0,H35+I26+MAX(0,H34+Assumptions!B77-I29))</f>
        <v>863343.003244442</v>
      </c>
      <c r="J35" s="24" t="n">
        <f aca="false">MAX(0,I35+J26+MAX(0,I34+Assumptions!B77-J29))</f>
        <v>1011282.06650631</v>
      </c>
      <c r="K35" s="24" t="n">
        <f aca="false">MAX(0,J35+K26+MAX(0,J34+Assumptions!B77-K29))</f>
        <v>1165462.18166603</v>
      </c>
    </row>
    <row r="36" customFormat="false" ht="16.5" hidden="false" customHeight="true" outlineLevel="0" collapsed="false">
      <c r="A36" s="28" t="s">
        <v>159</v>
      </c>
      <c r="B36" s="29" t="n">
        <f aca="false">B34+B35</f>
        <v>217364</v>
      </c>
      <c r="C36" s="29" t="n">
        <f aca="false">C34+C35</f>
        <v>308730.584</v>
      </c>
      <c r="D36" s="29" t="n">
        <f aca="false">D34+D35</f>
        <v>383760.83432</v>
      </c>
      <c r="E36" s="29" t="n">
        <f aca="false">E34+E35</f>
        <v>462453.8737496</v>
      </c>
      <c r="F36" s="29" t="n">
        <f aca="false">F34+F35</f>
        <v>544903.946026088</v>
      </c>
      <c r="G36" s="29" t="n">
        <f aca="false">G34+G35</f>
        <v>631207.496601431</v>
      </c>
      <c r="H36" s="29" t="n">
        <f aca="false">H34+H35</f>
        <v>721463.213669816</v>
      </c>
      <c r="I36" s="29" t="n">
        <f aca="false">I34+I35</f>
        <v>863343.003244442</v>
      </c>
      <c r="J36" s="29" t="n">
        <f aca="false">J34+J35</f>
        <v>1011282.06650631</v>
      </c>
      <c r="K36" s="29" t="n">
        <f aca="false">K34+K35</f>
        <v>1165462.18166603</v>
      </c>
    </row>
    <row r="37" customFormat="false" ht="16.5" hidden="false" customHeight="true" outlineLevel="0" collapsed="false">
      <c r="A37" s="7" t="s">
        <v>160</v>
      </c>
      <c r="B37" s="27" t="n">
        <f aca="false">B29-B34</f>
        <v>152756</v>
      </c>
      <c r="C37" s="27" t="n">
        <f aca="false">C29-C34</f>
        <v>98050.1958008184</v>
      </c>
      <c r="D37" s="27" t="n">
        <f aca="false">D29-D34</f>
        <v>41607.2208431314</v>
      </c>
      <c r="E37" s="27" t="n">
        <f aca="false">E29-E34</f>
        <v>0</v>
      </c>
      <c r="F37" s="27" t="n">
        <f aca="false">F29-F34</f>
        <v>0</v>
      </c>
      <c r="G37" s="27" t="n">
        <f aca="false">G29-G34</f>
        <v>0</v>
      </c>
      <c r="H37" s="27" t="n">
        <f aca="false">H29-H34</f>
        <v>0</v>
      </c>
      <c r="I37" s="27" t="n">
        <f aca="false">I29-I34</f>
        <v>0</v>
      </c>
      <c r="J37" s="27" t="n">
        <f aca="false">J29-J34</f>
        <v>0</v>
      </c>
      <c r="K37" s="27" t="n">
        <f aca="false">K29-K34</f>
        <v>0</v>
      </c>
    </row>
    <row r="38" customFormat="false" ht="16.5" hidden="false" customHeight="true" outlineLevel="0" collapsed="false">
      <c r="A38" s="7" t="s">
        <v>161</v>
      </c>
      <c r="B38" s="27" t="n">
        <f aca="false">B30-B35</f>
        <v>259330</v>
      </c>
      <c r="C38" s="27" t="n">
        <f aca="false">C30-C35</f>
        <v>183342.226117282</v>
      </c>
      <c r="D38" s="27" t="n">
        <f aca="false">D30-D35</f>
        <v>123036.816130104</v>
      </c>
      <c r="E38" s="27" t="n">
        <f aca="false">E30-E35</f>
        <v>41696.3287827795</v>
      </c>
      <c r="F38" s="27" t="n">
        <f aca="false">F30-F35</f>
        <v>-87699.1811884129</v>
      </c>
      <c r="G38" s="27" t="n">
        <f aca="false">G30-G35</f>
        <v>-223802.552050195</v>
      </c>
      <c r="H38" s="27" t="n">
        <f aca="false">H30-H35</f>
        <v>-336499.341226804</v>
      </c>
      <c r="I38" s="27" t="n">
        <f aca="false">I30-I35</f>
        <v>-493580.06707072</v>
      </c>
      <c r="J38" s="27" t="n">
        <f aca="false">J30-J35</f>
        <v>-657656.021341916</v>
      </c>
      <c r="K38" s="27" t="n">
        <f aca="false">K30-K35</f>
        <v>-828966.611022019</v>
      </c>
    </row>
    <row r="39" customFormat="false" ht="16.5" hidden="false" customHeight="true" outlineLevel="0" collapsed="false">
      <c r="A39" s="32" t="s">
        <v>162</v>
      </c>
      <c r="B39" s="33" t="n">
        <f aca="false">B37+B38</f>
        <v>412086</v>
      </c>
      <c r="C39" s="33" t="n">
        <f aca="false">C37+C38</f>
        <v>281392.4219181</v>
      </c>
      <c r="D39" s="33" t="n">
        <f aca="false">D37+D38</f>
        <v>164644.036973236</v>
      </c>
      <c r="E39" s="33" t="n">
        <f aca="false">E37+E38</f>
        <v>41696.3287827795</v>
      </c>
      <c r="F39" s="33" t="n">
        <f aca="false">F37+F38</f>
        <v>-87699.1811884129</v>
      </c>
      <c r="G39" s="33" t="n">
        <f aca="false">G37+G38</f>
        <v>-223802.552050195</v>
      </c>
      <c r="H39" s="33" t="n">
        <f aca="false">H37+H38</f>
        <v>-336499.341226804</v>
      </c>
      <c r="I39" s="33" t="n">
        <f aca="false">I37+I38</f>
        <v>-493580.06707072</v>
      </c>
      <c r="J39" s="33" t="n">
        <f aca="false">J37+J38</f>
        <v>-657656.021341916</v>
      </c>
      <c r="K39" s="33" t="n">
        <f aca="false">K37+K38</f>
        <v>-828966.611022019</v>
      </c>
    </row>
    <row r="40" customFormat="false" ht="16.5" hidden="false" customHeight="true" outlineLevel="0" collapsed="false">
      <c r="A40" s="7" t="s">
        <v>163</v>
      </c>
      <c r="B40" s="36" t="str">
        <f aca="false">IF(B39&lt;=0,"BOTH SATURATED",IF(B37&lt;=0,"Alex saturated","OK"))</f>
        <v>OK</v>
      </c>
      <c r="C40" s="36" t="str">
        <f aca="false">IF(C39&lt;=0,"BOTH SATURATED",IF(C37&lt;=0,"Alex saturated","OK"))</f>
        <v>OK</v>
      </c>
      <c r="D40" s="36" t="str">
        <f aca="false">IF(D39&lt;=0,"BOTH SATURATED",IF(D37&lt;=0,"Alex saturated","OK"))</f>
        <v>OK</v>
      </c>
      <c r="E40" s="36" t="str">
        <f aca="false">IF(E39&lt;=0,"BOTH SATURATED",IF(E37&lt;=0,"Alex saturated","OK"))</f>
        <v>Alex saturated</v>
      </c>
      <c r="F40" s="36" t="str">
        <f aca="false">IF(F39&lt;=0,"BOTH SATURATED",IF(F37&lt;=0,"Alex saturated","OK"))</f>
        <v>BOTH SATURATED</v>
      </c>
      <c r="G40" s="36" t="str">
        <f aca="false">IF(G39&lt;=0,"BOTH SATURATED",IF(G37&lt;=0,"Alex saturated","OK"))</f>
        <v>BOTH SATURATED</v>
      </c>
      <c r="H40" s="36" t="str">
        <f aca="false">IF(H39&lt;=0,"BOTH SATURATED",IF(H37&lt;=0,"Alex saturated","OK"))</f>
        <v>BOTH SATURATED</v>
      </c>
      <c r="I40" s="36" t="str">
        <f aca="false">IF(I39&lt;=0,"BOTH SATURATED",IF(I37&lt;=0,"Alex saturated","OK"))</f>
        <v>BOTH SATURATED</v>
      </c>
      <c r="J40" s="36" t="str">
        <f aca="false">IF(J39&lt;=0,"BOTH SATURATED",IF(J37&lt;=0,"Alex saturated","OK"))</f>
        <v>BOTH SATURATED</v>
      </c>
      <c r="K40" s="36" t="str">
        <f aca="false">IF(K39&lt;=0,"BOTH SATURATED",IF(K37&lt;=0,"Alex saturated","OK"))</f>
        <v>BOTH SATURATED</v>
      </c>
    </row>
    <row r="42" customFormat="false" ht="19.5" hidden="false" customHeight="true" outlineLevel="0" collapsed="false">
      <c r="A42" s="23" t="s">
        <v>164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customFormat="false" ht="16.5" hidden="false" customHeight="true" outlineLevel="0" collapsed="false">
      <c r="A43" s="7" t="s">
        <v>165</v>
      </c>
      <c r="B43" s="24" t="n">
        <f aca="false">Assumptions!B13</f>
        <v>900000</v>
      </c>
      <c r="C43" s="24" t="n">
        <f aca="false">B43*(1+Assumptions!B14)</f>
        <v>936000</v>
      </c>
      <c r="D43" s="24" t="n">
        <f aca="false">C43*(1+Assumptions!B14)</f>
        <v>973440</v>
      </c>
      <c r="E43" s="24" t="n">
        <f aca="false">D43*(1+Assumptions!B14)</f>
        <v>1012377.6</v>
      </c>
      <c r="F43" s="24" t="n">
        <f aca="false">E43*(1+Assumptions!B14)</f>
        <v>1052872.704</v>
      </c>
      <c r="G43" s="24" t="n">
        <f aca="false">F43*(1+Assumptions!B14)</f>
        <v>1094987.61216</v>
      </c>
      <c r="H43" s="24" t="n">
        <f aca="false">G43*(1+Assumptions!B14)</f>
        <v>1138787.1166464</v>
      </c>
      <c r="I43" s="24" t="n">
        <f aca="false">H43*(1+Assumptions!B14)</f>
        <v>1184338.60131226</v>
      </c>
      <c r="J43" s="24" t="n">
        <f aca="false">I43*(1+Assumptions!B14)</f>
        <v>1231712.14536475</v>
      </c>
      <c r="K43" s="24" t="n">
        <f aca="false">J43*(1+Assumptions!B14)</f>
        <v>1280980.63117934</v>
      </c>
    </row>
    <row r="44" customFormat="false" ht="16.5" hidden="false" customHeight="true" outlineLevel="0" collapsed="false">
      <c r="A44" s="7" t="s">
        <v>166</v>
      </c>
      <c r="B44" s="24" t="n">
        <f aca="false">Assumptions!B20</f>
        <v>800000</v>
      </c>
      <c r="C44" s="24" t="n">
        <f aca="false">B44*(1+Assumptions!B21)</f>
        <v>832000</v>
      </c>
      <c r="D44" s="24" t="n">
        <f aca="false">C44*(1+Assumptions!B21)</f>
        <v>865280</v>
      </c>
      <c r="E44" s="24" t="n">
        <f aca="false">D44*(1+Assumptions!B21)</f>
        <v>899891.2</v>
      </c>
      <c r="F44" s="24" t="n">
        <f aca="false">E44*(1+Assumptions!B21)</f>
        <v>935886.848</v>
      </c>
      <c r="G44" s="24" t="n">
        <f aca="false">F44*(1+Assumptions!B21)</f>
        <v>973322.32192</v>
      </c>
      <c r="H44" s="24" t="n">
        <f aca="false">G44*(1+Assumptions!B21)</f>
        <v>1012255.2147968</v>
      </c>
      <c r="I44" s="24" t="n">
        <f aca="false">H44*(1+Assumptions!B21)</f>
        <v>1052745.42338867</v>
      </c>
      <c r="J44" s="24" t="n">
        <f aca="false">I44*(1+Assumptions!B21)</f>
        <v>1094855.24032422</v>
      </c>
      <c r="K44" s="24" t="n">
        <f aca="false">J44*(1+Assumptions!B21)</f>
        <v>1138649.44993719</v>
      </c>
    </row>
    <row r="45" customFormat="false" ht="16.5" hidden="false" customHeight="true" outlineLevel="0" collapsed="false">
      <c r="A45" s="34" t="s">
        <v>167</v>
      </c>
      <c r="B45" s="35" t="n">
        <f aca="false">B43+B44</f>
        <v>1700000</v>
      </c>
      <c r="C45" s="35" t="n">
        <f aca="false">C43+C44</f>
        <v>1768000</v>
      </c>
      <c r="D45" s="35" t="n">
        <f aca="false">D43+D44</f>
        <v>1838720</v>
      </c>
      <c r="E45" s="35" t="n">
        <f aca="false">E43+E44</f>
        <v>1912268.8</v>
      </c>
      <c r="F45" s="35" t="n">
        <f aca="false">F43+F44</f>
        <v>1988759.552</v>
      </c>
      <c r="G45" s="35" t="n">
        <f aca="false">G43+G44</f>
        <v>2068309.93408</v>
      </c>
      <c r="H45" s="35" t="n">
        <f aca="false">H43+H44</f>
        <v>2151042.3314432</v>
      </c>
      <c r="I45" s="35" t="n">
        <f aca="false">I43+I44</f>
        <v>2237084.02470093</v>
      </c>
      <c r="J45" s="35" t="n">
        <f aca="false">J43+J44</f>
        <v>2326567.38568897</v>
      </c>
      <c r="K45" s="35" t="n">
        <f aca="false">K43+K44</f>
        <v>2419630.08111652</v>
      </c>
    </row>
    <row r="46" customFormat="false" ht="16.5" hidden="false" customHeight="true" outlineLevel="0" collapsed="false">
      <c r="A46" s="28" t="s">
        <v>168</v>
      </c>
      <c r="B46" s="29" t="n">
        <f aca="false">B45-B31</f>
        <v>1070550</v>
      </c>
      <c r="C46" s="29" t="n">
        <f aca="false">C45-C31</f>
        <v>1177876.9940819</v>
      </c>
      <c r="D46" s="29" t="n">
        <f aca="false">D45-D31</f>
        <v>1290315.12870676</v>
      </c>
      <c r="E46" s="29" t="n">
        <f aca="false">E45-E31</f>
        <v>1408118.59746762</v>
      </c>
      <c r="F46" s="29" t="n">
        <f aca="false">F45-F31</f>
        <v>1531554.78716233</v>
      </c>
      <c r="G46" s="29" t="n">
        <f aca="false">G45-G31</f>
        <v>1660904.98952877</v>
      </c>
      <c r="H46" s="29" t="n">
        <f aca="false">H45-H31</f>
        <v>1766078.45900019</v>
      </c>
      <c r="I46" s="29" t="n">
        <f aca="false">I45-I31</f>
        <v>1867321.08852721</v>
      </c>
      <c r="J46" s="29" t="n">
        <f aca="false">J45-J31</f>
        <v>1972941.34052457</v>
      </c>
      <c r="K46" s="29" t="n">
        <f aca="false">K45-K31</f>
        <v>2083134.51047252</v>
      </c>
    </row>
    <row r="48" customFormat="false" ht="19.5" hidden="false" customHeight="true" outlineLevel="0" collapsed="false">
      <c r="A48" s="23" t="s">
        <v>169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customFormat="false" ht="16.5" hidden="false" customHeight="true" outlineLevel="0" collapsed="false">
      <c r="A49" s="7" t="s">
        <v>41</v>
      </c>
      <c r="B49" s="24" t="n">
        <f aca="false">Assumptions!B28</f>
        <v>448141</v>
      </c>
      <c r="C49" s="24" t="n">
        <f aca="false">(B49+C12*(1-Assumptions!B57)+Assumptions!B32*(1-Assumptions!B57))*(1+Assumptions!B29)</f>
        <v>504429.351</v>
      </c>
      <c r="D49" s="24" t="n">
        <f aca="false">(C49+D12*(1-Assumptions!B57)+Assumptions!B32*(1-Assumptions!B57))*(1+Assumptions!B29)</f>
        <v>565405.441</v>
      </c>
      <c r="E49" s="24" t="n">
        <f aca="false">(D49+E12*(1-Assumptions!B57)+Assumptions!B32*(1-Assumptions!B57))*(1+Assumptions!B29)</f>
        <v>631419.8383629</v>
      </c>
      <c r="F49" s="24" t="n">
        <f aca="false">(E49+F12*(1-Assumptions!B57)+Assumptions!B32*(1-Assumptions!B57))*(1+Assumptions!B29)</f>
        <v>702848.32403599</v>
      </c>
      <c r="G49" s="24" t="n">
        <f aca="false">(F49+G12*(1-Assumptions!B57)+Assumptions!B32*(1-Assumptions!B57))*(1+Assumptions!B29)</f>
        <v>780093.676615827</v>
      </c>
      <c r="H49" s="24" t="n">
        <f aca="false">(G49+H12*(1-Assumptions!B57)+Assumptions!B32*(1-Assumptions!B57))*(1+Assumptions!B29)</f>
        <v>863587.582973172</v>
      </c>
      <c r="I49" s="24" t="n">
        <f aca="false">(H49+I12*(1-Assumptions!B57)+Assumptions!B32*(1-Assumptions!B57))*(1+Assumptions!B29)</f>
        <v>953792.683245359</v>
      </c>
      <c r="J49" s="24" t="n">
        <f aca="false">(I49+J12*(1-Assumptions!B57)+Assumptions!B32*(1-Assumptions!B57))*(1+Assumptions!B29)</f>
        <v>1051204.75962052</v>
      </c>
      <c r="K49" s="24" t="n">
        <f aca="false">(J49+K12*(1-Assumptions!B57)+Assumptions!B32*(1-Assumptions!B57))*(1+Assumptions!B29)</f>
        <v>1156355.07899838</v>
      </c>
    </row>
    <row r="50" customFormat="false" ht="16.5" hidden="false" customHeight="true" outlineLevel="0" collapsed="false">
      <c r="A50" s="7" t="s">
        <v>45</v>
      </c>
      <c r="B50" s="24" t="n">
        <f aca="false">Assumptions!B30</f>
        <v>350000</v>
      </c>
      <c r="C50" s="24" t="n">
        <f aca="false">(B50+C13*(1-Assumptions!B57)+Assumptions!B33*(1-Assumptions!B57))*(1+Assumptions!B31)</f>
        <v>390113.083333333</v>
      </c>
      <c r="D50" s="24" t="n">
        <f aca="false">(C50+D13*(1-Assumptions!B57)+Assumptions!B33*(1-Assumptions!B57))*(1+Assumptions!B31)</f>
        <v>441543.212916667</v>
      </c>
      <c r="E50" s="24" t="n">
        <f aca="false">(D50+E13*(1-Assumptions!B57)+Assumptions!B33*(1-Assumptions!B57))*(1+Assumptions!B31)</f>
        <v>497297.117983333</v>
      </c>
      <c r="F50" s="24" t="n">
        <f aca="false">(E50+F13*(1-Assumptions!B57)+Assumptions!B33*(1-Assumptions!B57))*(1+Assumptions!B31)</f>
        <v>557699.172809542</v>
      </c>
      <c r="G50" s="24" t="n">
        <f aca="false">(F50+G13*(1-Assumptions!B57)+Assumptions!B33*(1-Assumptions!B57))*(1+Assumptions!B31)</f>
        <v>623097.109170606</v>
      </c>
      <c r="H50" s="24" t="n">
        <f aca="false">(G50+H13*(1-Assumptions!B57)+Assumptions!B33*(1-Assumptions!B57))*(1+Assumptions!B31)</f>
        <v>693863.670904877</v>
      </c>
      <c r="I50" s="24" t="n">
        <f aca="false">(H50+I13*(1-Assumptions!B57)+Assumptions!B33*(1-Assumptions!B57))*(1+Assumptions!B31)</f>
        <v>770398.384883316</v>
      </c>
      <c r="J50" s="24" t="n">
        <f aca="false">(I50+J13*(1-Assumptions!B57)+Assumptions!B33*(1-Assumptions!B57))*(1+Assumptions!B31)</f>
        <v>853129.456550699</v>
      </c>
      <c r="K50" s="24" t="n">
        <f aca="false">(J50+K13*(1-Assumptions!B57)+Assumptions!B33*(1-Assumptions!B57))*(1+Assumptions!B31)</f>
        <v>942515.798776565</v>
      </c>
    </row>
    <row r="51" customFormat="false" ht="16.5" hidden="false" customHeight="true" outlineLevel="0" collapsed="false">
      <c r="A51" s="28" t="s">
        <v>170</v>
      </c>
      <c r="B51" s="29" t="n">
        <f aca="false">B49+B50</f>
        <v>798141</v>
      </c>
      <c r="C51" s="29" t="n">
        <f aca="false">C49+C50</f>
        <v>894542.434333333</v>
      </c>
      <c r="D51" s="29" t="n">
        <f aca="false">D49+D50</f>
        <v>1006948.65391667</v>
      </c>
      <c r="E51" s="29" t="n">
        <f aca="false">E49+E50</f>
        <v>1128716.95634623</v>
      </c>
      <c r="F51" s="29" t="n">
        <f aca="false">F49+F50</f>
        <v>1260547.49684553</v>
      </c>
      <c r="G51" s="29" t="n">
        <f aca="false">G49+G50</f>
        <v>1403190.78578643</v>
      </c>
      <c r="H51" s="29" t="n">
        <f aca="false">H49+H50</f>
        <v>1557451.25387805</v>
      </c>
      <c r="I51" s="29" t="n">
        <f aca="false">I49+I50</f>
        <v>1724191.06812867</v>
      </c>
      <c r="J51" s="29" t="n">
        <f aca="false">J49+J50</f>
        <v>1904334.21617122</v>
      </c>
      <c r="K51" s="29" t="n">
        <f aca="false">K49+K50</f>
        <v>2098870.87777495</v>
      </c>
    </row>
    <row r="53" customFormat="false" ht="19.5" hidden="false" customHeight="true" outlineLevel="0" collapsed="false">
      <c r="A53" s="23" t="s">
        <v>171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customFormat="false" ht="16.5" hidden="false" customHeight="true" outlineLevel="0" collapsed="false">
      <c r="A54" s="7" t="s">
        <v>172</v>
      </c>
      <c r="B54" s="24" t="n">
        <f aca="false">Assumptions!B36+Assumptions!B37</f>
        <v>147849</v>
      </c>
      <c r="C54" s="24" t="n">
        <f aca="false">(B54+Assumptions!B39)*(1+Assumptions!B38)</f>
        <v>158198.43</v>
      </c>
      <c r="D54" s="24" t="n">
        <f aca="false">(C54+Assumptions!B39)*(1+Assumptions!B38)</f>
        <v>169272.3201</v>
      </c>
      <c r="E54" s="24" t="n">
        <f aca="false">(D54+Assumptions!B39)*(1+Assumptions!B38)</f>
        <v>181121.382507</v>
      </c>
      <c r="F54" s="24" t="n">
        <f aca="false">(E54+Assumptions!B39)*(1+Assumptions!B38)</f>
        <v>193799.87928249</v>
      </c>
      <c r="G54" s="24" t="n">
        <f aca="false">(F54+Assumptions!B39)*(1+Assumptions!B38)</f>
        <v>207365.870832264</v>
      </c>
      <c r="H54" s="24" t="n">
        <f aca="false">(G54+Assumptions!B39)*(1+Assumptions!B38)</f>
        <v>221881.481790523</v>
      </c>
      <c r="I54" s="24" t="n">
        <f aca="false">(H54+Assumptions!B39)*(1+Assumptions!B38)</f>
        <v>237413.18551586</v>
      </c>
      <c r="J54" s="24" t="n">
        <f aca="false">(I54+Assumptions!B39)*(1+Assumptions!B38)</f>
        <v>254032.10850197</v>
      </c>
      <c r="K54" s="24" t="n">
        <f aca="false">(J54+Assumptions!B39)*(1+Assumptions!B38)</f>
        <v>271814.356097108</v>
      </c>
    </row>
    <row r="56" customFormat="false" ht="19.5" hidden="false" customHeight="true" outlineLevel="0" collapsed="false">
      <c r="A56" s="23" t="s">
        <v>173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customFormat="false" ht="16.5" hidden="false" customHeight="true" outlineLevel="0" collapsed="false">
      <c r="A57" s="30" t="s">
        <v>174</v>
      </c>
      <c r="B57" s="31" t="n">
        <f aca="false">B22</f>
        <v>0</v>
      </c>
      <c r="C57" s="31" t="n">
        <f aca="false">B57+C22</f>
        <v>37596</v>
      </c>
      <c r="D57" s="31" t="n">
        <f aca="false">C57+D22</f>
        <v>76695.84</v>
      </c>
      <c r="E57" s="31" t="n">
        <f aca="false">D57+E22</f>
        <v>117359.6736</v>
      </c>
      <c r="F57" s="31" t="n">
        <f aca="false">E57+F22</f>
        <v>159650.060544</v>
      </c>
      <c r="G57" s="31" t="n">
        <f aca="false">F57+G22</f>
        <v>203632.06296576</v>
      </c>
      <c r="H57" s="31" t="n">
        <f aca="false">G57+H22</f>
        <v>249373.34548439</v>
      </c>
      <c r="I57" s="31" t="n">
        <f aca="false">H57+I22</f>
        <v>249373.34548439</v>
      </c>
      <c r="J57" s="31" t="n">
        <f aca="false">I57+J22</f>
        <v>249373.34548439</v>
      </c>
      <c r="K57" s="31" t="n">
        <f aca="false">J57+K22</f>
        <v>249373.34548439</v>
      </c>
    </row>
    <row r="58" customFormat="false" ht="16.5" hidden="false" customHeight="true" outlineLevel="0" collapsed="false">
      <c r="A58" s="34" t="s">
        <v>175</v>
      </c>
      <c r="B58" s="35" t="n">
        <f aca="false">B45+B51+B54+B36</f>
        <v>2863354</v>
      </c>
      <c r="C58" s="35" t="n">
        <f aca="false">C45+C51+C54+C36</f>
        <v>3129471.44833333</v>
      </c>
      <c r="D58" s="35" t="n">
        <f aca="false">D45+D51+D54+D36</f>
        <v>3398701.80833667</v>
      </c>
      <c r="E58" s="35" t="n">
        <f aca="false">E45+E51+E54+E36</f>
        <v>3684561.01260283</v>
      </c>
      <c r="F58" s="35" t="n">
        <f aca="false">F45+F51+F54+F36</f>
        <v>3988010.87415411</v>
      </c>
      <c r="G58" s="35" t="n">
        <f aca="false">G45+G51+G54+G36</f>
        <v>4310074.08730013</v>
      </c>
      <c r="H58" s="35" t="n">
        <f aca="false">H45+H51+H54+H36</f>
        <v>4651838.28078159</v>
      </c>
      <c r="I58" s="35" t="n">
        <f aca="false">I45+I51+I54+I36</f>
        <v>5062031.28158991</v>
      </c>
      <c r="J58" s="35" t="n">
        <f aca="false">J45+J51+J54+J36</f>
        <v>5496215.77686846</v>
      </c>
      <c r="K58" s="35" t="n">
        <f aca="false">K45+K51+K54+K36</f>
        <v>5955777.49665461</v>
      </c>
    </row>
    <row r="59" customFormat="false" ht="16.5" hidden="false" customHeight="true" outlineLevel="0" collapsed="false">
      <c r="A59" s="34" t="s">
        <v>176</v>
      </c>
      <c r="B59" s="35" t="n">
        <f aca="false">B31</f>
        <v>629450</v>
      </c>
      <c r="C59" s="35" t="n">
        <f aca="false">C31</f>
        <v>590123.0059181</v>
      </c>
      <c r="D59" s="35" t="n">
        <f aca="false">D31</f>
        <v>548404.871293236</v>
      </c>
      <c r="E59" s="35" t="n">
        <f aca="false">E31</f>
        <v>504150.202532379</v>
      </c>
      <c r="F59" s="35" t="n">
        <f aca="false">F31</f>
        <v>457204.764837675</v>
      </c>
      <c r="G59" s="35" t="n">
        <f aca="false">G31</f>
        <v>407404.944551235</v>
      </c>
      <c r="H59" s="35" t="n">
        <f aca="false">H31</f>
        <v>384963.872443012</v>
      </c>
      <c r="I59" s="35" t="n">
        <f aca="false">I31</f>
        <v>369762.936173722</v>
      </c>
      <c r="J59" s="35" t="n">
        <f aca="false">J31</f>
        <v>353626.045164391</v>
      </c>
      <c r="K59" s="35" t="n">
        <f aca="false">K31</f>
        <v>336495.570644009</v>
      </c>
    </row>
    <row r="60" customFormat="false" ht="19.5" hidden="false" customHeight="true" outlineLevel="0" collapsed="false">
      <c r="A60" s="37" t="s">
        <v>177</v>
      </c>
      <c r="B60" s="38" t="n">
        <f aca="false">B58-B59</f>
        <v>2233904</v>
      </c>
      <c r="C60" s="38" t="n">
        <f aca="false">C58-C59</f>
        <v>2539348.44241523</v>
      </c>
      <c r="D60" s="38" t="n">
        <f aca="false">D58-D59</f>
        <v>2850296.93704343</v>
      </c>
      <c r="E60" s="38" t="n">
        <f aca="false">E58-E59</f>
        <v>3180410.81007045</v>
      </c>
      <c r="F60" s="38" t="n">
        <f aca="false">F58-F59</f>
        <v>3530806.10931643</v>
      </c>
      <c r="G60" s="38" t="n">
        <f aca="false">G58-G59</f>
        <v>3902669.14274889</v>
      </c>
      <c r="H60" s="38" t="n">
        <f aca="false">H58-H59</f>
        <v>4266874.40833858</v>
      </c>
      <c r="I60" s="38" t="n">
        <f aca="false">I58-I59</f>
        <v>4692268.34541618</v>
      </c>
      <c r="J60" s="38" t="n">
        <f aca="false">J58-J59</f>
        <v>5142589.73170407</v>
      </c>
      <c r="K60" s="38" t="n">
        <f aca="false">K58-K59</f>
        <v>5619281.9260106</v>
      </c>
    </row>
    <row r="61" customFormat="false" ht="16.5" hidden="false" customHeight="true" outlineLevel="0" collapsed="false">
      <c r="A61" s="7" t="s">
        <v>178</v>
      </c>
      <c r="B61" s="39" t="s">
        <v>179</v>
      </c>
      <c r="C61" s="39" t="n">
        <f aca="false">IFERROR((C60-B60)/B60,"-")</f>
        <v>0.136731230355124</v>
      </c>
      <c r="D61" s="39" t="n">
        <f aca="false">IFERROR((D60-C60)/C60,"-")</f>
        <v>0.12245207842861</v>
      </c>
      <c r="E61" s="39" t="n">
        <f aca="false">IFERROR((E60-D60)/D60,"-")</f>
        <v>0.115817362302415</v>
      </c>
      <c r="F61" s="39" t="n">
        <f aca="false">IFERROR((F60-E60)/E60,"-")</f>
        <v>0.110172968264505</v>
      </c>
      <c r="G61" s="39" t="n">
        <f aca="false">IFERROR((G60-F60)/F60,"-")</f>
        <v>0.105319584797153</v>
      </c>
      <c r="H61" s="39" t="n">
        <f aca="false">IFERROR((H60-G60)/G60,"-")</f>
        <v>0.0933220963059015</v>
      </c>
      <c r="I61" s="39" t="n">
        <f aca="false">IFERROR((I60-H60)/H60,"-")</f>
        <v>0.0996968498173458</v>
      </c>
      <c r="J61" s="39" t="n">
        <f aca="false">IFERROR((J60-I60)/I60,"-")</f>
        <v>0.0959709362589633</v>
      </c>
      <c r="K61" s="39" t="n">
        <f aca="false">IFERROR((K60-J60)/J60,"-")</f>
        <v>0.0926949687173605</v>
      </c>
    </row>
    <row r="63" customFormat="false" ht="19.5" hidden="false" customHeight="true" outlineLevel="0" collapsed="false">
      <c r="A63" s="23" t="s">
        <v>180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customFormat="false" ht="16.5" hidden="false" customHeight="true" outlineLevel="0" collapsed="false">
      <c r="A64" s="7" t="s">
        <v>181</v>
      </c>
      <c r="B64" s="40" t="n">
        <v>43</v>
      </c>
      <c r="C64" s="40" t="n">
        <v>44</v>
      </c>
      <c r="D64" s="40" t="n">
        <v>45</v>
      </c>
      <c r="E64" s="40" t="n">
        <v>46</v>
      </c>
      <c r="F64" s="40" t="n">
        <v>47</v>
      </c>
      <c r="G64" s="40" t="n">
        <v>48</v>
      </c>
      <c r="H64" s="40" t="n">
        <v>49</v>
      </c>
      <c r="I64" s="40" t="n">
        <v>50</v>
      </c>
      <c r="J64" s="40" t="n">
        <v>51</v>
      </c>
      <c r="K64" s="40" t="n">
        <v>52</v>
      </c>
    </row>
    <row r="65" customFormat="false" ht="16.5" hidden="false" customHeight="true" outlineLevel="0" collapsed="false">
      <c r="A65" s="7" t="s">
        <v>182</v>
      </c>
      <c r="B65" s="40" t="n">
        <v>41</v>
      </c>
      <c r="C65" s="40" t="n">
        <v>42</v>
      </c>
      <c r="D65" s="40" t="n">
        <v>43</v>
      </c>
      <c r="E65" s="40" t="n">
        <v>44</v>
      </c>
      <c r="F65" s="40" t="n">
        <v>45</v>
      </c>
      <c r="G65" s="40" t="n">
        <v>46</v>
      </c>
      <c r="H65" s="40" t="n">
        <v>47</v>
      </c>
      <c r="I65" s="40" t="n">
        <v>48</v>
      </c>
      <c r="J65" s="40" t="n">
        <v>49</v>
      </c>
      <c r="K65" s="40" t="n">
        <v>50</v>
      </c>
    </row>
    <row r="66" customFormat="false" ht="16.5" hidden="false" customHeight="true" outlineLevel="0" collapsed="false">
      <c r="A66" s="7" t="s">
        <v>183</v>
      </c>
      <c r="B66" s="41"/>
      <c r="C66" s="41" t="s">
        <v>184</v>
      </c>
      <c r="D66" s="41"/>
      <c r="E66" s="41"/>
      <c r="F66" s="41"/>
      <c r="G66" s="41"/>
      <c r="H66" s="41" t="s">
        <v>185</v>
      </c>
      <c r="I66" s="41"/>
      <c r="J66" s="41"/>
      <c r="K66" s="41"/>
    </row>
  </sheetData>
  <mergeCells count="11">
    <mergeCell ref="A1:K1"/>
    <mergeCell ref="A2:K2"/>
    <mergeCell ref="A5:K5"/>
    <mergeCell ref="A18:K18"/>
    <mergeCell ref="A28:K28"/>
    <mergeCell ref="A33:K33"/>
    <mergeCell ref="A42:K42"/>
    <mergeCell ref="A48:K48"/>
    <mergeCell ref="A53:K53"/>
    <mergeCell ref="A56:K56"/>
    <mergeCell ref="A63:K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3"/>
  </cols>
  <sheetData>
    <row r="1" customFormat="false" ht="30" hidden="false" customHeight="true" outlineLevel="0" collapsed="false">
      <c r="A1" s="2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187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16"/>
      <c r="B3" s="19" t="n">
        <v>2026</v>
      </c>
      <c r="C3" s="19" t="n">
        <v>2027</v>
      </c>
      <c r="D3" s="19" t="n">
        <v>2028</v>
      </c>
      <c r="E3" s="19" t="n">
        <v>2029</v>
      </c>
      <c r="F3" s="19" t="n">
        <v>2030</v>
      </c>
      <c r="G3" s="19" t="n">
        <v>2031</v>
      </c>
      <c r="H3" s="19" t="n">
        <v>2032</v>
      </c>
      <c r="I3" s="19" t="n">
        <v>2033</v>
      </c>
      <c r="J3" s="19" t="n">
        <v>2034</v>
      </c>
      <c r="K3" s="19" t="n">
        <v>2035</v>
      </c>
    </row>
    <row r="4" customFormat="false" ht="19.5" hidden="false" customHeight="true" outlineLevel="0" collapsed="false">
      <c r="A4" s="23" t="s">
        <v>173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customFormat="false" ht="16.5" hidden="false" customHeight="true" outlineLevel="0" collapsed="false">
      <c r="A5" s="37" t="s">
        <v>188</v>
      </c>
      <c r="B5" s="38" t="n">
        <f aca="false">'10-Year Projection'!B60</f>
        <v>2233904</v>
      </c>
      <c r="C5" s="38" t="n">
        <f aca="false">'10-Year Projection'!C60</f>
        <v>2539348.44241523</v>
      </c>
      <c r="D5" s="38" t="n">
        <f aca="false">'10-Year Projection'!D60</f>
        <v>2850296.93704343</v>
      </c>
      <c r="E5" s="38" t="n">
        <f aca="false">'10-Year Projection'!E60</f>
        <v>3180410.81007045</v>
      </c>
      <c r="F5" s="38" t="n">
        <f aca="false">'10-Year Projection'!F60</f>
        <v>3530806.10931643</v>
      </c>
      <c r="G5" s="38" t="n">
        <f aca="false">'10-Year Projection'!G60</f>
        <v>3902669.14274889</v>
      </c>
      <c r="H5" s="38" t="n">
        <f aca="false">'10-Year Projection'!H60</f>
        <v>4266874.40833858</v>
      </c>
      <c r="I5" s="38" t="n">
        <f aca="false">'10-Year Projection'!I60</f>
        <v>4692268.34541618</v>
      </c>
      <c r="J5" s="38" t="n">
        <f aca="false">'10-Year Projection'!J60</f>
        <v>5142589.73170407</v>
      </c>
      <c r="K5" s="38" t="n">
        <f aca="false">'10-Year Projection'!K60</f>
        <v>5619281.9260106</v>
      </c>
    </row>
    <row r="6" customFormat="false" ht="16.5" hidden="false" customHeight="true" outlineLevel="0" collapsed="false">
      <c r="A6" s="7" t="s">
        <v>189</v>
      </c>
      <c r="B6" s="24" t="n">
        <f aca="false">'10-Year Projection'!B46</f>
        <v>1070550</v>
      </c>
      <c r="C6" s="24" t="n">
        <f aca="false">'10-Year Projection'!C46</f>
        <v>1177876.9940819</v>
      </c>
      <c r="D6" s="24" t="n">
        <f aca="false">'10-Year Projection'!D46</f>
        <v>1290315.12870676</v>
      </c>
      <c r="E6" s="24" t="n">
        <f aca="false">'10-Year Projection'!E46</f>
        <v>1408118.59746762</v>
      </c>
      <c r="F6" s="24" t="n">
        <f aca="false">'10-Year Projection'!F46</f>
        <v>1531554.78716233</v>
      </c>
      <c r="G6" s="24" t="n">
        <f aca="false">'10-Year Projection'!G46</f>
        <v>1660904.98952877</v>
      </c>
      <c r="H6" s="24" t="n">
        <f aca="false">'10-Year Projection'!H46</f>
        <v>1766078.45900019</v>
      </c>
      <c r="I6" s="24" t="n">
        <f aca="false">'10-Year Projection'!I46</f>
        <v>1867321.08852721</v>
      </c>
      <c r="J6" s="24" t="n">
        <f aca="false">'10-Year Projection'!J46</f>
        <v>1972941.34052457</v>
      </c>
      <c r="K6" s="24" t="n">
        <f aca="false">'10-Year Projection'!K46</f>
        <v>2083134.51047252</v>
      </c>
    </row>
    <row r="7" customFormat="false" ht="16.5" hidden="false" customHeight="true" outlineLevel="0" collapsed="false">
      <c r="A7" s="7" t="s">
        <v>190</v>
      </c>
      <c r="B7" s="24" t="n">
        <f aca="false">'10-Year Projection'!B51</f>
        <v>798141</v>
      </c>
      <c r="C7" s="24" t="n">
        <f aca="false">'10-Year Projection'!C51</f>
        <v>894542.434333333</v>
      </c>
      <c r="D7" s="24" t="n">
        <f aca="false">'10-Year Projection'!D51</f>
        <v>1006948.65391667</v>
      </c>
      <c r="E7" s="24" t="n">
        <f aca="false">'10-Year Projection'!E51</f>
        <v>1128716.95634623</v>
      </c>
      <c r="F7" s="24" t="n">
        <f aca="false">'10-Year Projection'!F51</f>
        <v>1260547.49684553</v>
      </c>
      <c r="G7" s="24" t="n">
        <f aca="false">'10-Year Projection'!G51</f>
        <v>1403190.78578643</v>
      </c>
      <c r="H7" s="24" t="n">
        <f aca="false">'10-Year Projection'!H51</f>
        <v>1557451.25387805</v>
      </c>
      <c r="I7" s="24" t="n">
        <f aca="false">'10-Year Projection'!I51</f>
        <v>1724191.06812867</v>
      </c>
      <c r="J7" s="24" t="n">
        <f aca="false">'10-Year Projection'!J51</f>
        <v>1904334.21617122</v>
      </c>
      <c r="K7" s="24" t="n">
        <f aca="false">'10-Year Projection'!K51</f>
        <v>2098870.87777495</v>
      </c>
    </row>
    <row r="8" customFormat="false" ht="16.5" hidden="false" customHeight="true" outlineLevel="0" collapsed="false">
      <c r="A8" s="7" t="s">
        <v>191</v>
      </c>
      <c r="B8" s="24" t="n">
        <f aca="false">'10-Year Projection'!B54</f>
        <v>147849</v>
      </c>
      <c r="C8" s="24" t="n">
        <f aca="false">'10-Year Projection'!C54</f>
        <v>158198.43</v>
      </c>
      <c r="D8" s="24" t="n">
        <f aca="false">'10-Year Projection'!D54</f>
        <v>169272.3201</v>
      </c>
      <c r="E8" s="24" t="n">
        <f aca="false">'10-Year Projection'!E54</f>
        <v>181121.382507</v>
      </c>
      <c r="F8" s="24" t="n">
        <f aca="false">'10-Year Projection'!F54</f>
        <v>193799.87928249</v>
      </c>
      <c r="G8" s="24" t="n">
        <f aca="false">'10-Year Projection'!G54</f>
        <v>207365.870832264</v>
      </c>
      <c r="H8" s="24" t="n">
        <f aca="false">'10-Year Projection'!H54</f>
        <v>221881.481790523</v>
      </c>
      <c r="I8" s="24" t="n">
        <f aca="false">'10-Year Projection'!I54</f>
        <v>237413.18551586</v>
      </c>
      <c r="J8" s="24" t="n">
        <f aca="false">'10-Year Projection'!J54</f>
        <v>254032.10850197</v>
      </c>
      <c r="K8" s="24" t="n">
        <f aca="false">'10-Year Projection'!K54</f>
        <v>271814.356097108</v>
      </c>
    </row>
    <row r="9" customFormat="false" ht="16.5" hidden="false" customHeight="true" outlineLevel="0" collapsed="false">
      <c r="A9" s="7" t="s">
        <v>192</v>
      </c>
      <c r="B9" s="24" t="n">
        <f aca="false">'10-Year Projection'!B36</f>
        <v>217364</v>
      </c>
      <c r="C9" s="24" t="n">
        <f aca="false">'10-Year Projection'!C36</f>
        <v>308730.584</v>
      </c>
      <c r="D9" s="24" t="n">
        <f aca="false">'10-Year Projection'!D36</f>
        <v>383760.83432</v>
      </c>
      <c r="E9" s="24" t="n">
        <f aca="false">'10-Year Projection'!E36</f>
        <v>462453.8737496</v>
      </c>
      <c r="F9" s="24" t="n">
        <f aca="false">'10-Year Projection'!F36</f>
        <v>544903.946026088</v>
      </c>
      <c r="G9" s="24" t="n">
        <f aca="false">'10-Year Projection'!G36</f>
        <v>631207.496601431</v>
      </c>
      <c r="H9" s="24" t="n">
        <f aca="false">'10-Year Projection'!H36</f>
        <v>721463.213669816</v>
      </c>
      <c r="I9" s="24" t="n">
        <f aca="false">'10-Year Projection'!I36</f>
        <v>863343.003244442</v>
      </c>
      <c r="J9" s="24" t="n">
        <f aca="false">'10-Year Projection'!J36</f>
        <v>1011282.06650631</v>
      </c>
      <c r="K9" s="24" t="n">
        <f aca="false">'10-Year Projection'!K36</f>
        <v>1165462.18166603</v>
      </c>
    </row>
    <row r="10" customFormat="false" ht="16.5" hidden="false" customHeight="true" outlineLevel="0" collapsed="false">
      <c r="A10" s="42" t="s">
        <v>193</v>
      </c>
      <c r="B10" s="43" t="n">
        <f aca="false">'10-Year Projection'!B31</f>
        <v>629450</v>
      </c>
      <c r="C10" s="43" t="n">
        <f aca="false">'10-Year Projection'!C31</f>
        <v>590123.0059181</v>
      </c>
      <c r="D10" s="43" t="n">
        <f aca="false">'10-Year Projection'!D31</f>
        <v>548404.871293236</v>
      </c>
      <c r="E10" s="43" t="n">
        <f aca="false">'10-Year Projection'!E31</f>
        <v>504150.202532379</v>
      </c>
      <c r="F10" s="43" t="n">
        <f aca="false">'10-Year Projection'!F31</f>
        <v>457204.764837675</v>
      </c>
      <c r="G10" s="43" t="n">
        <f aca="false">'10-Year Projection'!G31</f>
        <v>407404.944551235</v>
      </c>
      <c r="H10" s="43" t="n">
        <f aca="false">'10-Year Projection'!H31</f>
        <v>384963.872443012</v>
      </c>
      <c r="I10" s="43" t="n">
        <f aca="false">'10-Year Projection'!I31</f>
        <v>369762.936173722</v>
      </c>
      <c r="J10" s="43" t="n">
        <f aca="false">'10-Year Projection'!J31</f>
        <v>353626.045164391</v>
      </c>
      <c r="K10" s="43" t="n">
        <f aca="false">'10-Year Projection'!K31</f>
        <v>336495.570644009</v>
      </c>
    </row>
    <row r="12" customFormat="false" ht="19.5" hidden="false" customHeight="true" outlineLevel="0" collapsed="false">
      <c r="A12" s="23" t="s">
        <v>194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customFormat="false" ht="16.5" hidden="false" customHeight="true" outlineLevel="0" collapsed="false">
      <c r="A13" s="7" t="s">
        <v>157</v>
      </c>
      <c r="B13" s="24" t="n">
        <f aca="false">'10-Year Projection'!B34</f>
        <v>17350</v>
      </c>
      <c r="C13" s="24" t="n">
        <f aca="false">'10-Year Projection'!C34</f>
        <v>43350</v>
      </c>
      <c r="D13" s="24" t="n">
        <f aca="false">'10-Year Projection'!D34</f>
        <v>69350</v>
      </c>
      <c r="E13" s="24" t="n">
        <f aca="false">'10-Year Projection'!E34</f>
        <v>78671.9478772975</v>
      </c>
      <c r="F13" s="24" t="n">
        <f aca="false">'10-Year Projection'!F34</f>
        <v>44432.8877352724</v>
      </c>
      <c r="G13" s="24" t="n">
        <f aca="false">'10-Year Projection'!G34</f>
        <v>8121.80433046995</v>
      </c>
      <c r="H13" s="24" t="n">
        <f aca="false">'10-Year Projection'!H34</f>
        <v>0</v>
      </c>
      <c r="I13" s="24" t="n">
        <f aca="false">'10-Year Projection'!I34</f>
        <v>0</v>
      </c>
      <c r="J13" s="24" t="n">
        <f aca="false">'10-Year Projection'!J34</f>
        <v>0</v>
      </c>
      <c r="K13" s="24" t="n">
        <f aca="false">'10-Year Projection'!K34</f>
        <v>0</v>
      </c>
    </row>
    <row r="14" customFormat="false" ht="16.5" hidden="false" customHeight="true" outlineLevel="0" collapsed="false">
      <c r="A14" s="7" t="s">
        <v>195</v>
      </c>
      <c r="B14" s="24" t="n">
        <f aca="false">'10-Year Projection'!B35</f>
        <v>200014</v>
      </c>
      <c r="C14" s="24" t="n">
        <f aca="false">'10-Year Projection'!C35</f>
        <v>265380.584</v>
      </c>
      <c r="D14" s="24" t="n">
        <f aca="false">'10-Year Projection'!D35</f>
        <v>314410.83432</v>
      </c>
      <c r="E14" s="24" t="n">
        <f aca="false">'10-Year Projection'!E35</f>
        <v>383781.925872302</v>
      </c>
      <c r="F14" s="24" t="n">
        <f aca="false">'10-Year Projection'!F35</f>
        <v>500471.058290816</v>
      </c>
      <c r="G14" s="24" t="n">
        <f aca="false">'10-Year Projection'!G35</f>
        <v>623085.692270961</v>
      </c>
      <c r="H14" s="24" t="n">
        <f aca="false">'10-Year Projection'!H35</f>
        <v>721463.213669816</v>
      </c>
      <c r="I14" s="24" t="n">
        <f aca="false">'10-Year Projection'!I35</f>
        <v>863343.003244442</v>
      </c>
      <c r="J14" s="24" t="n">
        <f aca="false">'10-Year Projection'!J35</f>
        <v>1011282.06650631</v>
      </c>
      <c r="K14" s="24" t="n">
        <f aca="false">'10-Year Projection'!K35</f>
        <v>1165462.18166603</v>
      </c>
    </row>
    <row r="15" customFormat="false" ht="16.5" hidden="false" customHeight="true" outlineLevel="0" collapsed="false">
      <c r="A15" s="7" t="s">
        <v>196</v>
      </c>
      <c r="B15" s="24" t="n">
        <f aca="false">'10-Year Projection'!B37</f>
        <v>152756</v>
      </c>
      <c r="C15" s="24" t="n">
        <f aca="false">'10-Year Projection'!C37</f>
        <v>98050.1958008184</v>
      </c>
      <c r="D15" s="24" t="n">
        <f aca="false">'10-Year Projection'!D37</f>
        <v>41607.2208431314</v>
      </c>
      <c r="E15" s="24" t="n">
        <f aca="false">'10-Year Projection'!E37</f>
        <v>0</v>
      </c>
      <c r="F15" s="24" t="n">
        <f aca="false">'10-Year Projection'!F37</f>
        <v>0</v>
      </c>
      <c r="G15" s="24" t="n">
        <f aca="false">'10-Year Projection'!G37</f>
        <v>0</v>
      </c>
      <c r="H15" s="24" t="n">
        <f aca="false">'10-Year Projection'!H37</f>
        <v>0</v>
      </c>
      <c r="I15" s="24" t="n">
        <f aca="false">'10-Year Projection'!I37</f>
        <v>0</v>
      </c>
      <c r="J15" s="24" t="n">
        <f aca="false">'10-Year Projection'!J37</f>
        <v>0</v>
      </c>
      <c r="K15" s="24" t="n">
        <f aca="false">'10-Year Projection'!K37</f>
        <v>0</v>
      </c>
    </row>
    <row r="16" customFormat="false" ht="16.5" hidden="false" customHeight="true" outlineLevel="0" collapsed="false">
      <c r="A16" s="7" t="s">
        <v>197</v>
      </c>
      <c r="B16" s="24" t="n">
        <f aca="false">'10-Year Projection'!B38</f>
        <v>259330</v>
      </c>
      <c r="C16" s="24" t="n">
        <f aca="false">'10-Year Projection'!C38</f>
        <v>183342.226117282</v>
      </c>
      <c r="D16" s="24" t="n">
        <f aca="false">'10-Year Projection'!D38</f>
        <v>123036.816130104</v>
      </c>
      <c r="E16" s="24" t="n">
        <f aca="false">'10-Year Projection'!E38</f>
        <v>41696.3287827795</v>
      </c>
      <c r="F16" s="24" t="n">
        <f aca="false">'10-Year Projection'!F38</f>
        <v>-87699.1811884129</v>
      </c>
      <c r="G16" s="24" t="n">
        <f aca="false">'10-Year Projection'!G38</f>
        <v>-223802.552050195</v>
      </c>
      <c r="H16" s="24" t="n">
        <f aca="false">'10-Year Projection'!H38</f>
        <v>-336499.341226804</v>
      </c>
      <c r="I16" s="24" t="n">
        <f aca="false">'10-Year Projection'!I38</f>
        <v>-493580.06707072</v>
      </c>
      <c r="J16" s="24" t="n">
        <f aca="false">'10-Year Projection'!J38</f>
        <v>-657656.021341916</v>
      </c>
      <c r="K16" s="24" t="n">
        <f aca="false">'10-Year Projection'!K38</f>
        <v>-828966.611022019</v>
      </c>
    </row>
    <row r="17" customFormat="false" ht="16.5" hidden="false" customHeight="true" outlineLevel="0" collapsed="false">
      <c r="A17" s="32" t="s">
        <v>198</v>
      </c>
      <c r="B17" s="33" t="n">
        <f aca="false">'10-Year Projection'!B39</f>
        <v>412086</v>
      </c>
      <c r="C17" s="33" t="n">
        <f aca="false">'10-Year Projection'!C39</f>
        <v>281392.4219181</v>
      </c>
      <c r="D17" s="33" t="n">
        <f aca="false">'10-Year Projection'!D39</f>
        <v>164644.036973236</v>
      </c>
      <c r="E17" s="33" t="n">
        <f aca="false">'10-Year Projection'!E39</f>
        <v>41696.3287827795</v>
      </c>
      <c r="F17" s="33" t="n">
        <f aca="false">'10-Year Projection'!F39</f>
        <v>-87699.1811884129</v>
      </c>
      <c r="G17" s="33" t="n">
        <f aca="false">'10-Year Projection'!G39</f>
        <v>-223802.552050195</v>
      </c>
      <c r="H17" s="33" t="n">
        <f aca="false">'10-Year Projection'!H39</f>
        <v>-336499.341226804</v>
      </c>
      <c r="I17" s="33" t="n">
        <f aca="false">'10-Year Projection'!I39</f>
        <v>-493580.06707072</v>
      </c>
      <c r="J17" s="33" t="n">
        <f aca="false">'10-Year Projection'!J39</f>
        <v>-657656.021341916</v>
      </c>
      <c r="K17" s="33" t="n">
        <f aca="false">'10-Year Projection'!K39</f>
        <v>-828966.611022019</v>
      </c>
    </row>
    <row r="18" customFormat="false" ht="16.5" hidden="false" customHeight="true" outlineLevel="0" collapsed="false">
      <c r="A18" s="7" t="s">
        <v>199</v>
      </c>
      <c r="B18" s="36" t="str">
        <f aca="false">'10-Year Projection'!B40</f>
        <v>OK</v>
      </c>
      <c r="C18" s="36" t="str">
        <f aca="false">'10-Year Projection'!C40</f>
        <v>OK</v>
      </c>
      <c r="D18" s="36" t="str">
        <f aca="false">'10-Year Projection'!D40</f>
        <v>OK</v>
      </c>
      <c r="E18" s="36" t="str">
        <f aca="false">'10-Year Projection'!E40</f>
        <v>Alex saturated</v>
      </c>
      <c r="F18" s="36" t="str">
        <f aca="false">'10-Year Projection'!F40</f>
        <v>BOTH SATURATED</v>
      </c>
      <c r="G18" s="36" t="str">
        <f aca="false">'10-Year Projection'!G40</f>
        <v>BOTH SATURATED</v>
      </c>
      <c r="H18" s="36" t="str">
        <f aca="false">'10-Year Projection'!H40</f>
        <v>BOTH SATURATED</v>
      </c>
      <c r="I18" s="36" t="str">
        <f aca="false">'10-Year Projection'!I40</f>
        <v>BOTH SATURATED</v>
      </c>
      <c r="J18" s="36" t="str">
        <f aca="false">'10-Year Projection'!J40</f>
        <v>BOTH SATURATED</v>
      </c>
      <c r="K18" s="36" t="str">
        <f aca="false">'10-Year Projection'!K40</f>
        <v>BOTH SATURATED</v>
      </c>
    </row>
    <row r="20" customFormat="false" ht="19.5" hidden="false" customHeight="true" outlineLevel="0" collapsed="false">
      <c r="A20" s="23" t="s">
        <v>200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customFormat="false" ht="16.5" hidden="false" customHeight="true" outlineLevel="0" collapsed="false">
      <c r="A21" s="7" t="s">
        <v>201</v>
      </c>
      <c r="B21" s="24" t="n">
        <f aca="false">'10-Year Projection'!B16</f>
        <v>274924.8</v>
      </c>
      <c r="C21" s="24" t="n">
        <f aca="false">'10-Year Projection'!C16</f>
        <v>303079.584</v>
      </c>
      <c r="D21" s="24" t="n">
        <f aca="false">'10-Year Projection'!D16</f>
        <v>291667.72032</v>
      </c>
      <c r="E21" s="24" t="n">
        <f aca="false">'10-Year Projection'!E16</f>
        <v>300417.7519296</v>
      </c>
      <c r="F21" s="24" t="n">
        <f aca="false">'10-Year Projection'!F16</f>
        <v>309430.284487488</v>
      </c>
      <c r="G21" s="24" t="n">
        <f aca="false">'10-Year Projection'!G16</f>
        <v>318713.193022113</v>
      </c>
      <c r="H21" s="24" t="n">
        <f aca="false">'10-Year Projection'!H16</f>
        <v>328274.588812776</v>
      </c>
      <c r="I21" s="24" t="n">
        <f aca="false">'10-Year Projection'!I16</f>
        <v>338122.826477159</v>
      </c>
      <c r="J21" s="24" t="n">
        <f aca="false">'10-Year Projection'!J16</f>
        <v>348266.511271474</v>
      </c>
      <c r="K21" s="24" t="n">
        <f aca="false">'10-Year Projection'!K16</f>
        <v>358714.506609618</v>
      </c>
    </row>
    <row r="22" customFormat="false" ht="16.5" hidden="false" customHeight="true" outlineLevel="0" collapsed="false">
      <c r="A22" s="42" t="s">
        <v>202</v>
      </c>
      <c r="B22" s="43" t="n">
        <f aca="false">'10-Year Projection'!B25</f>
        <v>201796</v>
      </c>
      <c r="C22" s="43" t="n">
        <f aca="false">'10-Year Projection'!C25</f>
        <v>237713</v>
      </c>
      <c r="D22" s="43" t="n">
        <f aca="false">'10-Year Projection'!D25</f>
        <v>242637.47</v>
      </c>
      <c r="E22" s="43" t="n">
        <f aca="false">'10-Year Projection'!E25</f>
        <v>247724.7125</v>
      </c>
      <c r="F22" s="43" t="n">
        <f aca="false">'10-Year Projection'!F25</f>
        <v>252980.212211</v>
      </c>
      <c r="G22" s="43" t="n">
        <f aca="false">'10-Year Projection'!G25</f>
        <v>258409.64244677</v>
      </c>
      <c r="H22" s="43" t="n">
        <f aca="false">'10-Year Projection'!H25</f>
        <v>264018.871744391</v>
      </c>
      <c r="I22" s="43" t="n">
        <f aca="false">'10-Year Projection'!I25</f>
        <v>222243.036902533</v>
      </c>
      <c r="J22" s="43" t="n">
        <f aca="false">'10-Year Projection'!J25</f>
        <v>226327.448009609</v>
      </c>
      <c r="K22" s="43" t="n">
        <f aca="false">'10-Year Projection'!K25</f>
        <v>230534.391449897</v>
      </c>
    </row>
    <row r="23" customFormat="false" ht="16.5" hidden="false" customHeight="true" outlineLevel="0" collapsed="false">
      <c r="A23" s="30" t="s">
        <v>203</v>
      </c>
      <c r="B23" s="31" t="n">
        <f aca="false">'10-Year Projection'!B22</f>
        <v>0</v>
      </c>
      <c r="C23" s="31" t="n">
        <f aca="false">'10-Year Projection'!C22</f>
        <v>37596</v>
      </c>
      <c r="D23" s="31" t="n">
        <f aca="false">'10-Year Projection'!D22</f>
        <v>39099.84</v>
      </c>
      <c r="E23" s="31" t="n">
        <f aca="false">'10-Year Projection'!E22</f>
        <v>40663.8336</v>
      </c>
      <c r="F23" s="31" t="n">
        <f aca="false">'10-Year Projection'!F22</f>
        <v>42290.386944</v>
      </c>
      <c r="G23" s="31" t="n">
        <f aca="false">'10-Year Projection'!G22</f>
        <v>43982.00242176</v>
      </c>
      <c r="H23" s="31" t="n">
        <f aca="false">'10-Year Projection'!H22</f>
        <v>45741.2825186304</v>
      </c>
      <c r="I23" s="31" t="n">
        <f aca="false">'10-Year Projection'!I22</f>
        <v>0</v>
      </c>
      <c r="J23" s="31" t="n">
        <f aca="false">'10-Year Projection'!J22</f>
        <v>0</v>
      </c>
      <c r="K23" s="31" t="n">
        <f aca="false">'10-Year Projection'!K22</f>
        <v>0</v>
      </c>
    </row>
    <row r="24" customFormat="false" ht="16.5" hidden="false" customHeight="true" outlineLevel="0" collapsed="false">
      <c r="A24" s="28" t="s">
        <v>204</v>
      </c>
      <c r="B24" s="29" t="n">
        <f aca="false">'10-Year Projection'!B26</f>
        <v>73128.8000000001</v>
      </c>
      <c r="C24" s="29" t="n">
        <f aca="false">'10-Year Projection'!C26</f>
        <v>65366.584</v>
      </c>
      <c r="D24" s="29" t="n">
        <f aca="false">'10-Year Projection'!D26</f>
        <v>49030.25032</v>
      </c>
      <c r="E24" s="29" t="n">
        <f aca="false">'10-Year Projection'!E26</f>
        <v>52693.0394296</v>
      </c>
      <c r="F24" s="29" t="n">
        <f aca="false">'10-Year Projection'!F26</f>
        <v>56450.072276488</v>
      </c>
      <c r="G24" s="29" t="n">
        <f aca="false">'10-Year Projection'!G26</f>
        <v>60303.5505753427</v>
      </c>
      <c r="H24" s="29" t="n">
        <f aca="false">'10-Year Projection'!H26</f>
        <v>64255.7170683854</v>
      </c>
      <c r="I24" s="29" t="n">
        <f aca="false">'10-Year Projection'!I26</f>
        <v>115879.789574626</v>
      </c>
      <c r="J24" s="29" t="n">
        <f aca="false">'10-Year Projection'!J26</f>
        <v>121939.063261865</v>
      </c>
      <c r="K24" s="29" t="n">
        <f aca="false">'10-Year Projection'!K26</f>
        <v>128180.115159721</v>
      </c>
    </row>
    <row r="25" customFormat="false" ht="16.5" hidden="false" customHeight="true" outlineLevel="0" collapsed="false">
      <c r="A25" s="30" t="s">
        <v>205</v>
      </c>
      <c r="B25" s="31" t="n">
        <f aca="false">'10-Year Projection'!B57</f>
        <v>0</v>
      </c>
      <c r="C25" s="31" t="n">
        <f aca="false">'10-Year Projection'!C57</f>
        <v>37596</v>
      </c>
      <c r="D25" s="31" t="n">
        <f aca="false">'10-Year Projection'!D57</f>
        <v>76695.84</v>
      </c>
      <c r="E25" s="31" t="n">
        <f aca="false">'10-Year Projection'!E57</f>
        <v>117359.6736</v>
      </c>
      <c r="F25" s="31" t="n">
        <f aca="false">'10-Year Projection'!F57</f>
        <v>159650.060544</v>
      </c>
      <c r="G25" s="31" t="n">
        <f aca="false">'10-Year Projection'!G57</f>
        <v>203632.06296576</v>
      </c>
      <c r="H25" s="31" t="n">
        <f aca="false">'10-Year Projection'!H57</f>
        <v>249373.34548439</v>
      </c>
      <c r="I25" s="31" t="n">
        <f aca="false">'10-Year Projection'!I57</f>
        <v>249373.34548439</v>
      </c>
      <c r="J25" s="31" t="n">
        <f aca="false">'10-Year Projection'!J57</f>
        <v>249373.34548439</v>
      </c>
      <c r="K25" s="31" t="n">
        <f aca="false">'10-Year Projection'!K57</f>
        <v>249373.34548439</v>
      </c>
    </row>
    <row r="27" customFormat="false" ht="19.5" hidden="false" customHeight="true" outlineLevel="0" collapsed="false">
      <c r="A27" s="23" t="s">
        <v>169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customFormat="false" ht="16.5" hidden="false" customHeight="true" outlineLevel="0" collapsed="false">
      <c r="A28" s="7" t="s">
        <v>206</v>
      </c>
      <c r="B28" s="24" t="n">
        <f aca="false">'10-Year Projection'!B49</f>
        <v>448141</v>
      </c>
      <c r="C28" s="24" t="n">
        <f aca="false">'10-Year Projection'!C49</f>
        <v>504429.351</v>
      </c>
      <c r="D28" s="24" t="n">
        <f aca="false">'10-Year Projection'!D49</f>
        <v>565405.441</v>
      </c>
      <c r="E28" s="24" t="n">
        <f aca="false">'10-Year Projection'!E49</f>
        <v>631419.8383629</v>
      </c>
      <c r="F28" s="24" t="n">
        <f aca="false">'10-Year Projection'!F49</f>
        <v>702848.32403599</v>
      </c>
      <c r="G28" s="24" t="n">
        <f aca="false">'10-Year Projection'!G49</f>
        <v>780093.676615827</v>
      </c>
      <c r="H28" s="24" t="n">
        <f aca="false">'10-Year Projection'!H49</f>
        <v>863587.582973172</v>
      </c>
      <c r="I28" s="24" t="n">
        <f aca="false">'10-Year Projection'!I49</f>
        <v>953792.683245359</v>
      </c>
      <c r="J28" s="24" t="n">
        <f aca="false">'10-Year Projection'!J49</f>
        <v>1051204.75962052</v>
      </c>
      <c r="K28" s="24" t="n">
        <f aca="false">'10-Year Projection'!K49</f>
        <v>1156355.07899838</v>
      </c>
    </row>
    <row r="29" customFormat="false" ht="16.5" hidden="false" customHeight="true" outlineLevel="0" collapsed="false">
      <c r="A29" s="7" t="s">
        <v>207</v>
      </c>
      <c r="B29" s="24" t="n">
        <f aca="false">'10-Year Projection'!B50</f>
        <v>350000</v>
      </c>
      <c r="C29" s="24" t="n">
        <f aca="false">'10-Year Projection'!C50</f>
        <v>390113.083333333</v>
      </c>
      <c r="D29" s="24" t="n">
        <f aca="false">'10-Year Projection'!D50</f>
        <v>441543.212916667</v>
      </c>
      <c r="E29" s="24" t="n">
        <f aca="false">'10-Year Projection'!E50</f>
        <v>497297.117983333</v>
      </c>
      <c r="F29" s="24" t="n">
        <f aca="false">'10-Year Projection'!F50</f>
        <v>557699.172809542</v>
      </c>
      <c r="G29" s="24" t="n">
        <f aca="false">'10-Year Projection'!G50</f>
        <v>623097.109170606</v>
      </c>
      <c r="H29" s="24" t="n">
        <f aca="false">'10-Year Projection'!H50</f>
        <v>693863.670904877</v>
      </c>
      <c r="I29" s="24" t="n">
        <f aca="false">'10-Year Projection'!I50</f>
        <v>770398.384883316</v>
      </c>
      <c r="J29" s="24" t="n">
        <f aca="false">'10-Year Projection'!J50</f>
        <v>853129.456550699</v>
      </c>
      <c r="K29" s="24" t="n">
        <f aca="false">'10-Year Projection'!K50</f>
        <v>942515.798776565</v>
      </c>
    </row>
    <row r="30" customFormat="false" ht="16.5" hidden="false" customHeight="true" outlineLevel="0" collapsed="false">
      <c r="A30" s="28" t="s">
        <v>208</v>
      </c>
      <c r="B30" s="29" t="n">
        <f aca="false">'10-Year Projection'!B51</f>
        <v>798141</v>
      </c>
      <c r="C30" s="29" t="n">
        <f aca="false">'10-Year Projection'!C51</f>
        <v>894542.434333333</v>
      </c>
      <c r="D30" s="29" t="n">
        <f aca="false">'10-Year Projection'!D51</f>
        <v>1006948.65391667</v>
      </c>
      <c r="E30" s="29" t="n">
        <f aca="false">'10-Year Projection'!E51</f>
        <v>1128716.95634623</v>
      </c>
      <c r="F30" s="29" t="n">
        <f aca="false">'10-Year Projection'!F51</f>
        <v>1260547.49684553</v>
      </c>
      <c r="G30" s="29" t="n">
        <f aca="false">'10-Year Projection'!G51</f>
        <v>1403190.78578643</v>
      </c>
      <c r="H30" s="29" t="n">
        <f aca="false">'10-Year Projection'!H51</f>
        <v>1557451.25387805</v>
      </c>
      <c r="I30" s="29" t="n">
        <f aca="false">'10-Year Projection'!I51</f>
        <v>1724191.06812867</v>
      </c>
      <c r="J30" s="29" t="n">
        <f aca="false">'10-Year Projection'!J51</f>
        <v>1904334.21617122</v>
      </c>
      <c r="K30" s="29" t="n">
        <f aca="false">'10-Year Projection'!K51</f>
        <v>2098870.87777495</v>
      </c>
    </row>
  </sheetData>
  <mergeCells count="6">
    <mergeCell ref="A1:K1"/>
    <mergeCell ref="A2:K2"/>
    <mergeCell ref="A4:K4"/>
    <mergeCell ref="A12:K12"/>
    <mergeCell ref="A20:K20"/>
    <mergeCell ref="A27:K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8" min="5" style="1" width="14"/>
    <col collapsed="false" customWidth="true" hidden="false" outlineLevel="0" max="9" min="9" style="1" width="34"/>
  </cols>
  <sheetData>
    <row r="1" customFormat="false" ht="30" hidden="false" customHeight="true" outlineLevel="0" collapsed="false">
      <c r="A1" s="2" t="s">
        <v>209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210</v>
      </c>
      <c r="B2" s="3"/>
      <c r="C2" s="3"/>
      <c r="D2" s="3"/>
      <c r="E2" s="3"/>
      <c r="F2" s="3"/>
      <c r="G2" s="3"/>
    </row>
    <row r="3" customFormat="false" ht="19.5" hidden="false" customHeight="true" outlineLevel="0" collapsed="false">
      <c r="A3" s="44" t="s">
        <v>211</v>
      </c>
      <c r="B3" s="44" t="s">
        <v>212</v>
      </c>
      <c r="C3" s="44" t="s">
        <v>213</v>
      </c>
      <c r="D3" s="44" t="s">
        <v>214</v>
      </c>
      <c r="E3" s="45" t="s">
        <v>215</v>
      </c>
      <c r="F3" s="46" t="s">
        <v>216</v>
      </c>
      <c r="G3" s="44" t="s">
        <v>217</v>
      </c>
      <c r="H3" s="44" t="s">
        <v>218</v>
      </c>
      <c r="I3" s="44" t="s">
        <v>219</v>
      </c>
    </row>
    <row r="4" customFormat="false" ht="18" hidden="false" customHeight="true" outlineLevel="0" collapsed="false">
      <c r="A4" s="47" t="s">
        <v>220</v>
      </c>
      <c r="B4" s="47"/>
      <c r="C4" s="47"/>
      <c r="D4" s="47"/>
      <c r="E4" s="47"/>
      <c r="F4" s="47"/>
      <c r="G4" s="47"/>
      <c r="H4" s="47"/>
      <c r="I4" s="47"/>
    </row>
    <row r="5" customFormat="false" ht="15.75" hidden="false" customHeight="true" outlineLevel="0" collapsed="false">
      <c r="A5" s="48" t="s">
        <v>221</v>
      </c>
      <c r="B5" s="49" t="s">
        <v>222</v>
      </c>
      <c r="C5" s="49" t="s">
        <v>223</v>
      </c>
      <c r="D5" s="49" t="s">
        <v>224</v>
      </c>
      <c r="E5" s="49" t="s">
        <v>225</v>
      </c>
      <c r="F5" s="49" t="s">
        <v>226</v>
      </c>
    </row>
    <row r="6" customFormat="false" ht="15.75" hidden="false" customHeight="true" outlineLevel="0" collapsed="false">
      <c r="A6" s="50" t="s">
        <v>227</v>
      </c>
      <c r="B6" s="51" t="s">
        <v>222</v>
      </c>
      <c r="C6" s="51" t="s">
        <v>228</v>
      </c>
      <c r="D6" s="51" t="s">
        <v>229</v>
      </c>
      <c r="E6" s="51" t="s">
        <v>230</v>
      </c>
      <c r="F6" s="51" t="s">
        <v>226</v>
      </c>
    </row>
    <row r="7" customFormat="false" ht="6" hidden="false" customHeight="true" outlineLevel="0" collapsed="false">
      <c r="A7" s="52" t="s">
        <v>231</v>
      </c>
    </row>
    <row r="8" customFormat="false" ht="16.5" hidden="false" customHeight="true" outlineLevel="0" collapsed="false">
      <c r="A8" s="7" t="s">
        <v>232</v>
      </c>
      <c r="B8" s="8" t="n">
        <v>12000</v>
      </c>
      <c r="C8" s="53" t="n">
        <f aca="false">ROUND(B8/12,0)</f>
        <v>1000</v>
      </c>
      <c r="D8" s="53" t="n">
        <f aca="false">ROUND(B8/52,0)</f>
        <v>231</v>
      </c>
      <c r="E8" s="54" t="n">
        <f aca="false">ROUND(D8*0.5,0)</f>
        <v>116</v>
      </c>
      <c r="F8" s="55" t="n">
        <f aca="false">ROUND(D8*0.5,0)</f>
        <v>116</v>
      </c>
      <c r="G8" s="53" t="n">
        <v>22000</v>
      </c>
      <c r="H8" s="53" t="n">
        <f aca="false">IF(G8&lt;&gt;"",B8-G8,"")</f>
        <v>-10000</v>
      </c>
      <c r="I8" s="56" t="s">
        <v>233</v>
      </c>
    </row>
    <row r="9" customFormat="false" ht="16.5" hidden="false" customHeight="true" outlineLevel="0" collapsed="false">
      <c r="A9" s="7" t="s">
        <v>234</v>
      </c>
      <c r="B9" s="8" t="n">
        <v>3000</v>
      </c>
      <c r="C9" s="53" t="n">
        <f aca="false">ROUND(B9/12,0)</f>
        <v>250</v>
      </c>
      <c r="D9" s="53" t="n">
        <f aca="false">ROUND(B9/52,0)</f>
        <v>58</v>
      </c>
      <c r="E9" s="54" t="n">
        <f aca="false">ROUND(D9*0.5,0)</f>
        <v>29</v>
      </c>
      <c r="F9" s="55" t="n">
        <f aca="false">ROUND(D9*0.5,0)</f>
        <v>29</v>
      </c>
      <c r="G9" s="53" t="n">
        <v>4000</v>
      </c>
      <c r="H9" s="53" t="n">
        <f aca="false">IF(G9&lt;&gt;"",B9-G9,"")</f>
        <v>-1000</v>
      </c>
      <c r="I9" s="56" t="s">
        <v>235</v>
      </c>
    </row>
    <row r="10" customFormat="false" ht="18" hidden="false" customHeight="true" outlineLevel="0" collapsed="false">
      <c r="A10" s="7" t="s">
        <v>236</v>
      </c>
      <c r="B10" s="8" t="n">
        <v>2400</v>
      </c>
      <c r="C10" s="53" t="n">
        <f aca="false">ROUND(B10/12,0)</f>
        <v>200</v>
      </c>
      <c r="D10" s="53" t="n">
        <f aca="false">ROUND(B10/52,0)</f>
        <v>46</v>
      </c>
      <c r="E10" s="54" t="n">
        <f aca="false">ROUND(D10*0.5,0)</f>
        <v>23</v>
      </c>
      <c r="F10" s="55" t="n">
        <f aca="false">ROUND(D10*0.5,0)</f>
        <v>23</v>
      </c>
      <c r="G10" s="53" t="n">
        <v>3500</v>
      </c>
      <c r="H10" s="53" t="n">
        <f aca="false">IF(G10&lt;&gt;"",B10-G10,"")</f>
        <v>-1100</v>
      </c>
      <c r="I10" s="56" t="s">
        <v>237</v>
      </c>
    </row>
    <row r="11" customFormat="false" ht="42.75" hidden="false" customHeight="true" outlineLevel="0" collapsed="false">
      <c r="A11" s="7" t="s">
        <v>238</v>
      </c>
      <c r="B11" s="8" t="n">
        <v>11960</v>
      </c>
      <c r="C11" s="53" t="n">
        <f aca="false">ROUND(B11/12,0)</f>
        <v>997</v>
      </c>
      <c r="D11" s="53" t="n">
        <f aca="false">ROUND(B11/52,0)</f>
        <v>230</v>
      </c>
      <c r="E11" s="54" t="n">
        <f aca="false">ROUND(D11*0.5,0)</f>
        <v>115</v>
      </c>
      <c r="F11" s="55" t="n">
        <f aca="false">ROUND(D11*0.5,0)</f>
        <v>115</v>
      </c>
      <c r="G11" s="53" t="n">
        <v>11200</v>
      </c>
      <c r="H11" s="53" t="n">
        <f aca="false">IF(G11&lt;&gt;"",B11-G11,"")</f>
        <v>760</v>
      </c>
      <c r="I11" s="56" t="s">
        <v>239</v>
      </c>
    </row>
    <row r="12" customFormat="false" ht="19.5" hidden="false" customHeight="true" outlineLevel="0" collapsed="false">
      <c r="A12" s="57" t="s">
        <v>240</v>
      </c>
      <c r="B12" s="57"/>
      <c r="C12" s="57"/>
      <c r="D12" s="57"/>
      <c r="E12" s="57"/>
      <c r="F12" s="57"/>
      <c r="G12" s="57"/>
      <c r="H12" s="53" t="n">
        <f aca="false">IF(E9&lt;&gt;"",B9-E9,"")</f>
        <v>2971</v>
      </c>
      <c r="I12" s="56" t="s">
        <v>241</v>
      </c>
    </row>
    <row r="13" customFormat="false" ht="16.5" hidden="false" customHeight="true" outlineLevel="0" collapsed="false">
      <c r="A13" s="58" t="s">
        <v>242</v>
      </c>
      <c r="B13" s="59" t="n">
        <f aca="false">SUM(B8:B11)</f>
        <v>29360</v>
      </c>
      <c r="C13" s="59" t="n">
        <f aca="false">SUM(C8:C11)</f>
        <v>2447</v>
      </c>
      <c r="D13" s="59" t="n">
        <f aca="false">SUM(D8:D11)</f>
        <v>565</v>
      </c>
      <c r="E13" s="59" t="n">
        <f aca="false">SUM(E8:E11)</f>
        <v>283</v>
      </c>
      <c r="F13" s="59" t="n">
        <f aca="false">SUM(F8:F11)</f>
        <v>283</v>
      </c>
      <c r="G13" s="59" t="n">
        <f aca="false">IFERROR(SUM(G8:G11),"")</f>
        <v>40700</v>
      </c>
      <c r="H13" s="59" t="n">
        <f aca="false">SUMIF(G8:G11,"&lt;&gt;",B8:B11)-SUMIF(G8:G11,"&lt;&gt;",G8:G11)</f>
        <v>-11340</v>
      </c>
    </row>
    <row r="14" customFormat="false" ht="16.5" hidden="false" customHeight="true" outlineLevel="0" collapsed="false"/>
    <row r="15" customFormat="false" ht="16.5" hidden="false" customHeight="true" outlineLevel="0" collapsed="false">
      <c r="A15" s="52" t="s">
        <v>243</v>
      </c>
    </row>
    <row r="16" customFormat="false" ht="16.5" hidden="false" customHeight="true" outlineLevel="0" collapsed="false">
      <c r="A16" s="7" t="s">
        <v>244</v>
      </c>
      <c r="B16" s="8" t="n">
        <v>39024</v>
      </c>
      <c r="C16" s="53" t="n">
        <f aca="false">ROUND(B16/12,0)</f>
        <v>3252</v>
      </c>
      <c r="D16" s="53" t="n">
        <f aca="false">ROUND(B16/52,0)</f>
        <v>750</v>
      </c>
      <c r="E16" s="54" t="n">
        <f aca="false">ROUND(D16*1,0)</f>
        <v>750</v>
      </c>
      <c r="F16" s="55" t="n">
        <f aca="false">ROUND(D16*0,0)</f>
        <v>0</v>
      </c>
      <c r="G16" s="53" t="n">
        <v>39024</v>
      </c>
      <c r="H16" s="53" t="n">
        <f aca="false">IF(G16&lt;&gt;"",B16-G16,"")</f>
        <v>0</v>
      </c>
      <c r="I16" s="56" t="s">
        <v>245</v>
      </c>
    </row>
    <row r="17" customFormat="false" ht="16.5" hidden="false" customHeight="true" outlineLevel="0" collapsed="false">
      <c r="A17" s="7" t="s">
        <v>246</v>
      </c>
      <c r="B17" s="8" t="n">
        <v>35796</v>
      </c>
      <c r="C17" s="53" t="n">
        <f aca="false">ROUND(B17/12,0)</f>
        <v>2983</v>
      </c>
      <c r="D17" s="53" t="n">
        <f aca="false">ROUND(B17/52,0)</f>
        <v>688</v>
      </c>
      <c r="E17" s="54" t="n">
        <f aca="false">ROUND(D17*0,0)</f>
        <v>0</v>
      </c>
      <c r="F17" s="55" t="n">
        <f aca="false">ROUND(D17*1,0)</f>
        <v>688</v>
      </c>
      <c r="G17" s="53" t="n">
        <v>35796</v>
      </c>
      <c r="H17" s="53" t="n">
        <f aca="false">IF(G17&lt;&gt;"",B17-G17,"")</f>
        <v>0</v>
      </c>
      <c r="I17" s="56" t="s">
        <v>247</v>
      </c>
    </row>
    <row r="18" customFormat="false" ht="16.5" hidden="false" customHeight="true" outlineLevel="0" collapsed="false">
      <c r="A18" s="7" t="s">
        <v>248</v>
      </c>
      <c r="B18" s="8" t="n">
        <v>2200</v>
      </c>
      <c r="C18" s="53" t="n">
        <f aca="false">ROUND(B18/12,0)</f>
        <v>183</v>
      </c>
      <c r="D18" s="53" t="n">
        <f aca="false">ROUND(B18/52,0)</f>
        <v>42</v>
      </c>
      <c r="E18" s="54" t="n">
        <f aca="false">ROUND(D18*1,0)</f>
        <v>42</v>
      </c>
      <c r="F18" s="55" t="n">
        <f aca="false">ROUND(D18*0,0)</f>
        <v>0</v>
      </c>
      <c r="G18" s="53"/>
      <c r="H18" s="53" t="str">
        <f aca="false">IF(G18&lt;&gt;"",B18-G18,"")</f>
        <v/>
      </c>
      <c r="I18" s="56" t="s">
        <v>249</v>
      </c>
    </row>
    <row r="19" customFormat="false" ht="16.5" hidden="false" customHeight="true" outlineLevel="0" collapsed="false">
      <c r="A19" s="7" t="s">
        <v>250</v>
      </c>
      <c r="B19" s="8" t="n">
        <v>2200</v>
      </c>
      <c r="C19" s="53" t="n">
        <f aca="false">ROUND(B19/12,0)</f>
        <v>183</v>
      </c>
      <c r="D19" s="53" t="n">
        <f aca="false">ROUND(B19/52,0)</f>
        <v>42</v>
      </c>
      <c r="E19" s="54" t="n">
        <f aca="false">ROUND(D19*0,0)</f>
        <v>0</v>
      </c>
      <c r="F19" s="55" t="n">
        <f aca="false">ROUND(D19*1,0)</f>
        <v>42</v>
      </c>
      <c r="G19" s="53"/>
      <c r="H19" s="53" t="str">
        <f aca="false">IF(G19&lt;&gt;"",B19-G19,"")</f>
        <v/>
      </c>
      <c r="I19" s="56" t="s">
        <v>251</v>
      </c>
    </row>
    <row r="20" customFormat="false" ht="18" hidden="false" customHeight="true" outlineLevel="0" collapsed="false">
      <c r="A20" s="7" t="s">
        <v>252</v>
      </c>
      <c r="B20" s="8" t="n">
        <v>3600</v>
      </c>
      <c r="C20" s="53" t="n">
        <f aca="false">ROUND(B20/12,0)</f>
        <v>300</v>
      </c>
      <c r="D20" s="53" t="n">
        <f aca="false">ROUND(B20/52,0)</f>
        <v>69</v>
      </c>
      <c r="E20" s="54" t="n">
        <f aca="false">ROUND(D20*0.5,0)</f>
        <v>35</v>
      </c>
      <c r="F20" s="55" t="n">
        <f aca="false">ROUND(D20*0.5,0)</f>
        <v>35</v>
      </c>
      <c r="G20" s="53"/>
      <c r="H20" s="53" t="str">
        <f aca="false">IF(G20&lt;&gt;"",B20-G20,"")</f>
        <v/>
      </c>
      <c r="I20" s="56" t="s">
        <v>253</v>
      </c>
    </row>
    <row r="21" customFormat="false" ht="21.75" hidden="false" customHeight="true" outlineLevel="0" collapsed="false">
      <c r="A21" s="7" t="s">
        <v>254</v>
      </c>
      <c r="B21" s="8" t="n">
        <v>8000</v>
      </c>
      <c r="C21" s="53" t="n">
        <f aca="false">ROUND(B21/12,0)</f>
        <v>667</v>
      </c>
      <c r="D21" s="53" t="n">
        <f aca="false">ROUND(B21/52,0)</f>
        <v>154</v>
      </c>
      <c r="E21" s="54" t="n">
        <f aca="false">ROUND(D21*0.5,0)</f>
        <v>77</v>
      </c>
      <c r="F21" s="55" t="n">
        <f aca="false">ROUND(D21*0.5,0)</f>
        <v>77</v>
      </c>
      <c r="G21" s="53"/>
      <c r="H21" s="53" t="str">
        <f aca="false">IF(G21&lt;&gt;"",B21-G21,"")</f>
        <v/>
      </c>
      <c r="I21" s="56" t="s">
        <v>255</v>
      </c>
    </row>
    <row r="22" customFormat="false" ht="19.5" hidden="false" customHeight="true" outlineLevel="0" collapsed="false">
      <c r="A22" s="57" t="s">
        <v>256</v>
      </c>
      <c r="B22" s="57"/>
      <c r="C22" s="57"/>
      <c r="D22" s="57"/>
      <c r="E22" s="57"/>
      <c r="F22" s="57"/>
      <c r="G22" s="57"/>
      <c r="H22" s="53" t="n">
        <f aca="false">IF(E19&lt;&gt;"",B19-E19,"")</f>
        <v>2200</v>
      </c>
      <c r="I22" s="60" t="s">
        <v>257</v>
      </c>
    </row>
    <row r="23" customFormat="false" ht="16.5" hidden="false" customHeight="true" outlineLevel="0" collapsed="false">
      <c r="A23" s="58" t="s">
        <v>258</v>
      </c>
      <c r="B23" s="59" t="n">
        <f aca="false">SUM(B16:B21)</f>
        <v>90820</v>
      </c>
      <c r="C23" s="59" t="n">
        <f aca="false">SUM(C16:C21)</f>
        <v>7568</v>
      </c>
      <c r="D23" s="59" t="n">
        <f aca="false">SUM(D16:D21)</f>
        <v>1745</v>
      </c>
      <c r="E23" s="59" t="n">
        <f aca="false">SUM(E16:E21)</f>
        <v>904</v>
      </c>
      <c r="F23" s="59" t="n">
        <f aca="false">SUM(F16:F21)</f>
        <v>842</v>
      </c>
      <c r="G23" s="59" t="n">
        <f aca="false">IFERROR(SUM(G16:G21),"")</f>
        <v>74820</v>
      </c>
      <c r="H23" s="59" t="n">
        <f aca="false">SUMIF(G16:G21,"&lt;&gt;",B16:B21)-SUMIF(G16:G21,"&lt;&gt;",G16:G21)</f>
        <v>0</v>
      </c>
    </row>
    <row r="24" customFormat="false" ht="16.5" hidden="false" customHeight="true" outlineLevel="0" collapsed="false"/>
    <row r="25" customFormat="false" ht="16.5" hidden="false" customHeight="true" outlineLevel="0" collapsed="false">
      <c r="A25" s="52" t="s">
        <v>259</v>
      </c>
    </row>
    <row r="26" customFormat="false" ht="16.5" hidden="false" customHeight="true" outlineLevel="0" collapsed="false">
      <c r="A26" s="7" t="s">
        <v>260</v>
      </c>
      <c r="B26" s="8" t="n">
        <v>3600</v>
      </c>
      <c r="C26" s="53" t="n">
        <f aca="false">ROUND(B26/12,0)</f>
        <v>300</v>
      </c>
      <c r="D26" s="53" t="n">
        <f aca="false">ROUND(B26/52,0)</f>
        <v>69</v>
      </c>
      <c r="E26" s="54" t="n">
        <f aca="false">ROUND(D26*0.5,0)</f>
        <v>35</v>
      </c>
      <c r="F26" s="55" t="n">
        <f aca="false">ROUND(D26*0.5,0)</f>
        <v>35</v>
      </c>
      <c r="G26" s="53" t="n">
        <v>4537</v>
      </c>
      <c r="H26" s="53" t="n">
        <f aca="false">IF(G26&lt;&gt;"",B26-G26,"")</f>
        <v>-937</v>
      </c>
      <c r="I26" s="56" t="s">
        <v>261</v>
      </c>
    </row>
    <row r="27" customFormat="false" ht="16.5" hidden="false" customHeight="true" outlineLevel="0" collapsed="false">
      <c r="A27" s="7" t="s">
        <v>262</v>
      </c>
      <c r="B27" s="8" t="n">
        <v>2400</v>
      </c>
      <c r="C27" s="53" t="n">
        <f aca="false">ROUND(B27/12,0)</f>
        <v>200</v>
      </c>
      <c r="D27" s="53" t="n">
        <f aca="false">ROUND(B27/52,0)</f>
        <v>46</v>
      </c>
      <c r="E27" s="54" t="n">
        <f aca="false">ROUND(D27*0.5,0)</f>
        <v>23</v>
      </c>
      <c r="F27" s="55" t="n">
        <f aca="false">ROUND(D27*0.5,0)</f>
        <v>23</v>
      </c>
      <c r="G27" s="53"/>
      <c r="H27" s="53" t="str">
        <f aca="false">IF(G27&lt;&gt;"",B27-G27,"")</f>
        <v/>
      </c>
      <c r="I27" s="56" t="s">
        <v>263</v>
      </c>
    </row>
    <row r="28" customFormat="false" ht="18" hidden="false" customHeight="true" outlineLevel="0" collapsed="false">
      <c r="A28" s="7" t="s">
        <v>264</v>
      </c>
      <c r="B28" s="8" t="n">
        <v>1200</v>
      </c>
      <c r="C28" s="53" t="n">
        <f aca="false">ROUND(B28/12,0)</f>
        <v>100</v>
      </c>
      <c r="D28" s="53" t="n">
        <f aca="false">ROUND(B28/52,0)</f>
        <v>23</v>
      </c>
      <c r="E28" s="54" t="n">
        <f aca="false">ROUND(D28*0.5,0)</f>
        <v>12</v>
      </c>
      <c r="F28" s="55" t="n">
        <f aca="false">ROUND(D28*0.5,0)</f>
        <v>12</v>
      </c>
      <c r="G28" s="53"/>
      <c r="H28" s="53" t="str">
        <f aca="false">IF(G28&lt;&gt;"",B28-G28,"")</f>
        <v/>
      </c>
      <c r="I28" s="60" t="s">
        <v>265</v>
      </c>
    </row>
    <row r="29" customFormat="false" ht="21.75" hidden="false" customHeight="true" outlineLevel="0" collapsed="false">
      <c r="A29" s="7" t="s">
        <v>266</v>
      </c>
      <c r="B29" s="8" t="n">
        <v>650</v>
      </c>
      <c r="C29" s="53" t="n">
        <f aca="false">ROUND(B29/12,0)</f>
        <v>54</v>
      </c>
      <c r="D29" s="53" t="n">
        <f aca="false">ROUND(B29/52,0)</f>
        <v>13</v>
      </c>
      <c r="E29" s="54" t="n">
        <f aca="false">ROUND(D29*0.5,0)</f>
        <v>7</v>
      </c>
      <c r="F29" s="55" t="n">
        <f aca="false">ROUND(D29*0.5,0)</f>
        <v>7</v>
      </c>
      <c r="G29" s="53"/>
      <c r="H29" s="53" t="str">
        <f aca="false">IF(G29&lt;&gt;"",B29-G29,"")</f>
        <v/>
      </c>
      <c r="I29" s="56" t="s">
        <v>267</v>
      </c>
    </row>
    <row r="30" customFormat="false" ht="19.5" hidden="false" customHeight="true" outlineLevel="0" collapsed="false">
      <c r="A30" s="57" t="s">
        <v>268</v>
      </c>
      <c r="B30" s="57"/>
      <c r="C30" s="57"/>
      <c r="D30" s="57"/>
      <c r="E30" s="57"/>
      <c r="F30" s="57"/>
      <c r="G30" s="57"/>
      <c r="H30" s="53" t="str">
        <f aca="false">IF(G30&lt;&gt;"",B30-G30,"")</f>
        <v/>
      </c>
      <c r="I30" s="60" t="s">
        <v>269</v>
      </c>
    </row>
    <row r="31" customFormat="false" ht="16.5" hidden="false" customHeight="true" outlineLevel="0" collapsed="false">
      <c r="A31" s="58" t="s">
        <v>270</v>
      </c>
      <c r="B31" s="59" t="n">
        <f aca="false">SUM(B26:B29)</f>
        <v>7850</v>
      </c>
      <c r="C31" s="59" t="n">
        <f aca="false">SUM(C26:C29)</f>
        <v>654</v>
      </c>
      <c r="D31" s="59" t="n">
        <f aca="false">SUM(D26:D29)</f>
        <v>151</v>
      </c>
      <c r="E31" s="59" t="n">
        <f aca="false">SUM(E26:E29)</f>
        <v>77</v>
      </c>
      <c r="F31" s="59" t="n">
        <f aca="false">SUM(F26:F29)</f>
        <v>77</v>
      </c>
      <c r="G31" s="59" t="n">
        <f aca="false">IFERROR(SUM(G26:G29),"")</f>
        <v>4537</v>
      </c>
      <c r="H31" s="59" t="n">
        <f aca="false">SUMIF(G26:G29,"&lt;&gt;",B26:B29)-SUMIF(G26:G29,"&lt;&gt;",G26:G29)</f>
        <v>-937</v>
      </c>
    </row>
    <row r="32" customFormat="false" ht="16.5" hidden="false" customHeight="true" outlineLevel="0" collapsed="false"/>
    <row r="33" customFormat="false" ht="16.5" hidden="false" customHeight="true" outlineLevel="0" collapsed="false">
      <c r="A33" s="52" t="s">
        <v>271</v>
      </c>
    </row>
    <row r="34" customFormat="false" ht="16.5" hidden="false" customHeight="true" outlineLevel="0" collapsed="false">
      <c r="A34" s="7" t="s">
        <v>272</v>
      </c>
      <c r="B34" s="8" t="n">
        <v>840</v>
      </c>
      <c r="C34" s="53" t="n">
        <f aca="false">ROUND(B34/12,0)</f>
        <v>70</v>
      </c>
      <c r="D34" s="53" t="n">
        <f aca="false">ROUND(B34/52,0)</f>
        <v>16</v>
      </c>
      <c r="E34" s="54" t="n">
        <f aca="false">ROUND(D34*0.5,0)</f>
        <v>8</v>
      </c>
      <c r="F34" s="55" t="n">
        <f aca="false">ROUND(D34*0.5,0)</f>
        <v>8</v>
      </c>
      <c r="G34" s="53"/>
      <c r="H34" s="53" t="str">
        <f aca="false">IF(G34&lt;&gt;"",B34-G34,"")</f>
        <v/>
      </c>
      <c r="I34" s="60" t="s">
        <v>273</v>
      </c>
    </row>
    <row r="35" customFormat="false" ht="16.5" hidden="false" customHeight="true" outlineLevel="0" collapsed="false">
      <c r="A35" s="7" t="s">
        <v>274</v>
      </c>
      <c r="B35" s="8" t="n">
        <v>800</v>
      </c>
      <c r="C35" s="53" t="n">
        <f aca="false">ROUND(B35/12,0)</f>
        <v>67</v>
      </c>
      <c r="D35" s="53" t="n">
        <f aca="false">ROUND(B35/52,0)</f>
        <v>15</v>
      </c>
      <c r="E35" s="54" t="n">
        <f aca="false">ROUND(D35*0.5,0)</f>
        <v>8</v>
      </c>
      <c r="F35" s="55" t="n">
        <f aca="false">ROUND(D35*0.5,0)</f>
        <v>8</v>
      </c>
      <c r="G35" s="53"/>
      <c r="H35" s="53" t="str">
        <f aca="false">IF(G35&lt;&gt;"",B35-G35,"")</f>
        <v/>
      </c>
      <c r="I35" s="60" t="s">
        <v>275</v>
      </c>
    </row>
    <row r="36" customFormat="false" ht="18" hidden="false" customHeight="true" outlineLevel="0" collapsed="false">
      <c r="A36" s="7" t="s">
        <v>276</v>
      </c>
      <c r="B36" s="8" t="n">
        <v>900</v>
      </c>
      <c r="C36" s="53" t="n">
        <f aca="false">ROUND(B36/12,0)</f>
        <v>75</v>
      </c>
      <c r="D36" s="53" t="n">
        <f aca="false">ROUND(B36/52,0)</f>
        <v>17</v>
      </c>
      <c r="E36" s="54" t="n">
        <f aca="false">ROUND(D36*0.5,0)</f>
        <v>9</v>
      </c>
      <c r="F36" s="55" t="n">
        <f aca="false">ROUND(D36*0.5,0)</f>
        <v>9</v>
      </c>
      <c r="G36" s="53"/>
      <c r="H36" s="53" t="str">
        <f aca="false">IF(G36&lt;&gt;"",B36-G36,"")</f>
        <v/>
      </c>
      <c r="I36" s="60" t="s">
        <v>277</v>
      </c>
    </row>
    <row r="37" customFormat="false" ht="16.5" hidden="false" customHeight="true" outlineLevel="0" collapsed="false">
      <c r="A37" s="7" t="s">
        <v>278</v>
      </c>
      <c r="B37" s="8" t="n">
        <v>2912</v>
      </c>
      <c r="C37" s="53" t="n">
        <f aca="false">ROUND(B37/12,0)</f>
        <v>243</v>
      </c>
      <c r="D37" s="53" t="n">
        <f aca="false">ROUND(B37/52,0)</f>
        <v>56</v>
      </c>
      <c r="E37" s="54" t="n">
        <f aca="false">B37</f>
        <v>2912</v>
      </c>
      <c r="F37" s="55" t="n">
        <v>0</v>
      </c>
      <c r="G37" s="53"/>
      <c r="H37" s="53" t="str">
        <f aca="false">IF(G37&lt;&gt;"",B37-G37,"")</f>
        <v/>
      </c>
      <c r="I37" s="60" t="s">
        <v>279</v>
      </c>
    </row>
    <row r="38" customFormat="false" ht="16.5" hidden="false" customHeight="true" outlineLevel="0" collapsed="false">
      <c r="A38" s="57" t="s">
        <v>280</v>
      </c>
      <c r="B38" s="57"/>
      <c r="C38" s="57"/>
      <c r="D38" s="57"/>
      <c r="E38" s="57"/>
      <c r="F38" s="57"/>
      <c r="G38" s="57"/>
      <c r="H38" s="53" t="str">
        <f aca="false">IF(G38&lt;&gt;"",B38-G38,"")</f>
        <v/>
      </c>
      <c r="I38" s="60" t="s">
        <v>281</v>
      </c>
    </row>
    <row r="39" customFormat="false" ht="16.5" hidden="false" customHeight="true" outlineLevel="0" collapsed="false">
      <c r="A39" s="7" t="s">
        <v>282</v>
      </c>
      <c r="H39" s="53" t="str">
        <f aca="false">IF(G39&lt;&gt;"",B39-G39,"")</f>
        <v/>
      </c>
      <c r="I39" s="60" t="s">
        <v>283</v>
      </c>
    </row>
    <row r="40" customFormat="false" ht="16.5" hidden="false" customHeight="true" outlineLevel="0" collapsed="false">
      <c r="A40" s="58" t="s">
        <v>284</v>
      </c>
      <c r="B40" s="59" t="n">
        <f aca="false">SUM(B34:B39)</f>
        <v>5452</v>
      </c>
      <c r="C40" s="59" t="n">
        <f aca="false">SUM(C34:C39)</f>
        <v>455</v>
      </c>
      <c r="D40" s="59" t="n">
        <f aca="false">SUM(D34:D39)</f>
        <v>104</v>
      </c>
      <c r="E40" s="59" t="n">
        <f aca="false">SUM(E34:E39)</f>
        <v>2937</v>
      </c>
      <c r="F40" s="59" t="n">
        <f aca="false">SUM(F34:F39)</f>
        <v>25</v>
      </c>
      <c r="G40" s="59" t="n">
        <f aca="false">IFERROR(SUM(G34:G39),"")</f>
        <v>0</v>
      </c>
      <c r="H40" s="59" t="n">
        <f aca="false">SUMIF(G34:G39,"&lt;&gt;",B34:B39)-SUMIF(G34:G39,"&lt;&gt;",G34:G39)</f>
        <v>0</v>
      </c>
    </row>
    <row r="41" customFormat="false" ht="16.5" hidden="false" customHeight="true" outlineLevel="0" collapsed="false"/>
    <row r="42" customFormat="false" ht="16.5" hidden="false" customHeight="true" outlineLevel="0" collapsed="false">
      <c r="A42" s="52" t="s">
        <v>285</v>
      </c>
    </row>
    <row r="43" customFormat="false" ht="16.5" hidden="false" customHeight="true" outlineLevel="0" collapsed="false">
      <c r="A43" s="7" t="s">
        <v>286</v>
      </c>
      <c r="B43" s="8" t="n">
        <v>240</v>
      </c>
      <c r="C43" s="53" t="n">
        <f aca="false">ROUND(B42/12,0)</f>
        <v>0</v>
      </c>
      <c r="D43" s="53" t="n">
        <f aca="false">ROUND(B42/52,0)</f>
        <v>0</v>
      </c>
      <c r="E43" s="54" t="n">
        <f aca="false">ROUND(D43*0.5,0)</f>
        <v>0</v>
      </c>
      <c r="F43" s="55" t="n">
        <f aca="false">ROUND(D43*0.5,0)</f>
        <v>0</v>
      </c>
      <c r="G43" s="53" t="n">
        <v>816</v>
      </c>
      <c r="H43" s="53" t="str">
        <f aca="false">IF(G42&lt;&gt;"",B42-G42,"")</f>
        <v/>
      </c>
      <c r="I43" s="56" t="s">
        <v>287</v>
      </c>
    </row>
    <row r="44" customFormat="false" ht="16.5" hidden="false" customHeight="true" outlineLevel="0" collapsed="false">
      <c r="A44" s="7" t="s">
        <v>288</v>
      </c>
      <c r="B44" s="8" t="n">
        <v>408</v>
      </c>
      <c r="C44" s="53" t="n">
        <f aca="false">ROUND(B43/12,0)</f>
        <v>20</v>
      </c>
      <c r="D44" s="53" t="n">
        <f aca="false">ROUND(B43/52,0)</f>
        <v>5</v>
      </c>
      <c r="E44" s="54" t="n">
        <f aca="false">ROUND(D44*0.5,0)</f>
        <v>3</v>
      </c>
      <c r="F44" s="55" t="n">
        <f aca="false">ROUND(D44*0.5,0)</f>
        <v>3</v>
      </c>
      <c r="G44" s="53" t="n">
        <v>816</v>
      </c>
      <c r="H44" s="53" t="n">
        <f aca="false">IF(G43&lt;&gt;"",B43-G43,"")</f>
        <v>-576</v>
      </c>
      <c r="I44" s="56" t="s">
        <v>289</v>
      </c>
    </row>
    <row r="45" customFormat="false" ht="16.5" hidden="false" customHeight="true" outlineLevel="0" collapsed="false">
      <c r="A45" s="7" t="s">
        <v>290</v>
      </c>
      <c r="B45" s="8" t="n">
        <v>180</v>
      </c>
      <c r="C45" s="53" t="n">
        <f aca="false">ROUND(B44/12,0)</f>
        <v>34</v>
      </c>
      <c r="D45" s="53" t="n">
        <f aca="false">ROUND(B44/52,0)</f>
        <v>8</v>
      </c>
      <c r="E45" s="54" t="n">
        <f aca="false">ROUND(D45*0.5,0)</f>
        <v>4</v>
      </c>
      <c r="F45" s="55" t="n">
        <f aca="false">ROUND(D45*0.5,0)</f>
        <v>4</v>
      </c>
      <c r="G45" s="53"/>
      <c r="H45" s="53" t="n">
        <f aca="false">IF(G44&lt;&gt;"",B44-G44,"")</f>
        <v>-408</v>
      </c>
      <c r="I45" s="56" t="s">
        <v>291</v>
      </c>
    </row>
    <row r="46" customFormat="false" ht="16.5" hidden="false" customHeight="true" outlineLevel="0" collapsed="false">
      <c r="A46" s="7" t="s">
        <v>292</v>
      </c>
      <c r="B46" s="8" t="n">
        <v>1068</v>
      </c>
      <c r="C46" s="53" t="n">
        <f aca="false">ROUND(B46/12,0)</f>
        <v>89</v>
      </c>
      <c r="D46" s="53" t="n">
        <f aca="false">ROUND(B46/52,0)</f>
        <v>21</v>
      </c>
      <c r="E46" s="54" t="n">
        <f aca="false">B46</f>
        <v>1068</v>
      </c>
      <c r="F46" s="55" t="n">
        <v>0</v>
      </c>
      <c r="G46" s="53"/>
      <c r="H46" s="53" t="str">
        <f aca="false">IF(G46&lt;&gt;"",B46-G46,"")</f>
        <v/>
      </c>
      <c r="I46" s="60" t="s">
        <v>293</v>
      </c>
    </row>
    <row r="47" customFormat="false" ht="16.5" hidden="false" customHeight="true" outlineLevel="0" collapsed="false">
      <c r="A47" s="7" t="s">
        <v>294</v>
      </c>
      <c r="B47" s="61" t="n">
        <v>900</v>
      </c>
      <c r="C47" s="53" t="n">
        <f aca="false">ROUND(B47/12,0)</f>
        <v>75</v>
      </c>
      <c r="D47" s="53" t="n">
        <f aca="false">ROUND(B47/52,0)</f>
        <v>17</v>
      </c>
      <c r="E47" s="54" t="n">
        <v>0</v>
      </c>
      <c r="F47" s="55" t="n">
        <f aca="false">B47</f>
        <v>900</v>
      </c>
      <c r="G47" s="62"/>
      <c r="H47" s="53" t="str">
        <f aca="false">IF(G47&lt;&gt;"",B47-G47,"")</f>
        <v/>
      </c>
      <c r="I47" s="60" t="s">
        <v>295</v>
      </c>
    </row>
    <row r="48" customFormat="false" ht="16.5" hidden="false" customHeight="true" outlineLevel="0" collapsed="false">
      <c r="A48" s="7" t="s">
        <v>296</v>
      </c>
      <c r="B48" s="8" t="n">
        <v>720</v>
      </c>
      <c r="C48" s="53" t="n">
        <f aca="false">ROUND(B47/12,0)</f>
        <v>75</v>
      </c>
      <c r="D48" s="53" t="n">
        <f aca="false">ROUND(B47/52,0)</f>
        <v>17</v>
      </c>
      <c r="E48" s="54" t="n">
        <f aca="false">B47</f>
        <v>900</v>
      </c>
      <c r="F48" s="55" t="n">
        <v>0</v>
      </c>
      <c r="G48" s="53"/>
      <c r="H48" s="53" t="str">
        <f aca="false">IF(G47&lt;&gt;"",B47-G47,"")</f>
        <v/>
      </c>
      <c r="I48" s="60" t="s">
        <v>297</v>
      </c>
    </row>
    <row r="49" customFormat="false" ht="19.5" hidden="false" customHeight="true" outlineLevel="0" collapsed="false">
      <c r="A49" s="57" t="s">
        <v>298</v>
      </c>
      <c r="B49" s="57"/>
      <c r="C49" s="57"/>
      <c r="D49" s="57"/>
      <c r="E49" s="57"/>
      <c r="F49" s="57"/>
      <c r="G49" s="57"/>
      <c r="H49" s="53" t="str">
        <f aca="false">IF(G48&lt;&gt;"",B48-G48,"")</f>
        <v/>
      </c>
      <c r="I49" s="60" t="s">
        <v>299</v>
      </c>
    </row>
    <row r="50" customFormat="false" ht="16.5" hidden="false" customHeight="true" outlineLevel="0" collapsed="false">
      <c r="A50" s="7" t="s">
        <v>300</v>
      </c>
      <c r="B50" s="8" t="n">
        <v>120</v>
      </c>
      <c r="C50" s="53" t="n">
        <f aca="false">ROUND(B47/12,0)</f>
        <v>75</v>
      </c>
      <c r="D50" s="53" t="n">
        <f aca="false">ROUND(B47/52,0)</f>
        <v>17</v>
      </c>
      <c r="E50" s="54" t="n">
        <f aca="false">ROUND(D50*0.5,0)</f>
        <v>9</v>
      </c>
      <c r="F50" s="55" t="n">
        <f aca="false">ROUND(D50*0.5,0)</f>
        <v>9</v>
      </c>
      <c r="G50" s="53"/>
      <c r="H50" s="53" t="str">
        <f aca="false">IF(G47&lt;&gt;"",B47-G47,"")</f>
        <v/>
      </c>
      <c r="I50" s="56" t="s">
        <v>291</v>
      </c>
    </row>
    <row r="51" customFormat="false" ht="16.5" hidden="false" customHeight="true" outlineLevel="0" collapsed="false">
      <c r="A51" s="7" t="s">
        <v>301</v>
      </c>
      <c r="B51" s="8" t="n">
        <v>120</v>
      </c>
      <c r="C51" s="53" t="n">
        <f aca="false">ROUND(B48/12,0)</f>
        <v>60</v>
      </c>
      <c r="D51" s="53" t="n">
        <f aca="false">ROUND(B48/52,0)</f>
        <v>14</v>
      </c>
      <c r="E51" s="54" t="n">
        <f aca="false">ROUND(D51*0.5,0)</f>
        <v>7</v>
      </c>
      <c r="F51" s="55" t="n">
        <f aca="false">ROUND(D51*0.5,0)</f>
        <v>7</v>
      </c>
      <c r="G51" s="53" t="n">
        <v>120</v>
      </c>
      <c r="H51" s="53" t="str">
        <f aca="false">IF(G48&lt;&gt;"",B48-G48,"")</f>
        <v/>
      </c>
      <c r="I51" s="56" t="s">
        <v>302</v>
      </c>
    </row>
    <row r="52" customFormat="false" ht="16.5" hidden="false" customHeight="true" outlineLevel="0" collapsed="false">
      <c r="A52" s="7" t="s">
        <v>303</v>
      </c>
      <c r="H52" s="53" t="n">
        <f aca="false">IF(E46&lt;&gt;"",B46-E46,"")</f>
        <v>0</v>
      </c>
      <c r="I52" s="56" t="s">
        <v>304</v>
      </c>
    </row>
    <row r="53" customFormat="false" ht="16.5" hidden="false" customHeight="true" outlineLevel="0" collapsed="false">
      <c r="A53" s="58" t="s">
        <v>305</v>
      </c>
      <c r="B53" s="59" t="n">
        <f aca="false">SUM(B43:B51)</f>
        <v>3756</v>
      </c>
      <c r="C53" s="59" t="n">
        <f aca="false">SUM(C43:C51)</f>
        <v>428</v>
      </c>
      <c r="D53" s="59" t="n">
        <f aca="false">SUM(D43:D51)</f>
        <v>99</v>
      </c>
      <c r="E53" s="59" t="n">
        <f aca="false">SUM(E43:E51)</f>
        <v>1991</v>
      </c>
      <c r="F53" s="59" t="n">
        <f aca="false">SUM(F43:F51)</f>
        <v>923</v>
      </c>
      <c r="G53" s="63" t="n">
        <f aca="false">IFERROR(SUM(G43:G51),"")</f>
        <v>1752</v>
      </c>
      <c r="H53" s="59" t="n">
        <f aca="false">SUMIF(G43:G51,"&lt;&gt;",B43:B51)-SUMIF(G43:G51,"&lt;&gt;",G43:G51)</f>
        <v>-984</v>
      </c>
    </row>
    <row r="54" customFormat="false" ht="13.5" hidden="false" customHeight="true" outlineLevel="0" collapsed="false"/>
    <row r="55" customFormat="false" ht="21.75" hidden="false" customHeight="true" outlineLevel="0" collapsed="false">
      <c r="A55" s="52" t="s">
        <v>306</v>
      </c>
    </row>
    <row r="56" customFormat="false" ht="18" hidden="false" customHeight="true" outlineLevel="0" collapsed="false">
      <c r="A56" s="23" t="s">
        <v>307</v>
      </c>
      <c r="B56" s="23"/>
      <c r="C56" s="23"/>
      <c r="D56" s="23"/>
      <c r="E56" s="23"/>
      <c r="F56" s="23"/>
      <c r="G56" s="23"/>
    </row>
    <row r="57" customFormat="false" ht="16.5" hidden="false" customHeight="true" outlineLevel="0" collapsed="false">
      <c r="A57" s="25" t="s">
        <v>308</v>
      </c>
      <c r="B57" s="64" t="n">
        <f aca="false">IFERROR(INDEX(B62:B67,MATCH(D56,A62:A67,0)),0)</f>
        <v>0</v>
      </c>
      <c r="C57" s="65" t="n">
        <f aca="false">ROUND(B57/12,0)</f>
        <v>0</v>
      </c>
      <c r="D57" s="65" t="n">
        <f aca="false">ROUND(B57/52,0)</f>
        <v>0</v>
      </c>
      <c r="E57" s="54" t="n">
        <f aca="false">ROUND(D57*0.6,0)</f>
        <v>0</v>
      </c>
      <c r="F57" s="55" t="n">
        <f aca="false">ROUND(D57*0.4,0)</f>
        <v>0</v>
      </c>
      <c r="G57" s="62"/>
      <c r="H57" s="53" t="str">
        <f aca="false">IF(G57&lt;&gt;"",B57-G57,"")</f>
        <v/>
      </c>
      <c r="I57" s="60" t="s">
        <v>309</v>
      </c>
    </row>
    <row r="58" customFormat="false" ht="4.5" hidden="false" customHeight="true" outlineLevel="0" collapsed="false"/>
    <row r="59" customFormat="false" ht="15.75" hidden="false" customHeight="true" outlineLevel="0" collapsed="false">
      <c r="A59" s="66" t="s">
        <v>310</v>
      </c>
      <c r="B59" s="67" t="s">
        <v>311</v>
      </c>
      <c r="C59" s="67" t="s">
        <v>312</v>
      </c>
      <c r="D59" s="67" t="s">
        <v>313</v>
      </c>
      <c r="E59" s="67" t="s">
        <v>314</v>
      </c>
      <c r="F59" s="67" t="s">
        <v>315</v>
      </c>
      <c r="G59" s="67" t="s">
        <v>316</v>
      </c>
      <c r="H59" s="67" t="s">
        <v>317</v>
      </c>
    </row>
    <row r="60" customFormat="false" ht="15.75" hidden="false" customHeight="true" outlineLevel="0" collapsed="false">
      <c r="A60" s="68" t="n">
        <v>2027</v>
      </c>
      <c r="B60" s="69" t="n">
        <v>37596</v>
      </c>
      <c r="C60" s="69" t="n">
        <v>3133</v>
      </c>
      <c r="D60" s="69" t="n">
        <v>723</v>
      </c>
      <c r="E60" s="70" t="s">
        <v>318</v>
      </c>
      <c r="F60" s="54" t="n">
        <v>434</v>
      </c>
      <c r="G60" s="55" t="n">
        <v>289</v>
      </c>
      <c r="H60" s="71"/>
    </row>
    <row r="61" customFormat="false" ht="15.75" hidden="false" customHeight="true" outlineLevel="0" collapsed="false">
      <c r="A61" s="68" t="n">
        <v>2028</v>
      </c>
      <c r="B61" s="69" t="n">
        <v>39100</v>
      </c>
      <c r="C61" s="69" t="n">
        <v>3258</v>
      </c>
      <c r="D61" s="69" t="n">
        <v>752</v>
      </c>
      <c r="E61" s="70" t="s">
        <v>319</v>
      </c>
      <c r="F61" s="54" t="n">
        <v>451</v>
      </c>
      <c r="G61" s="55" t="n">
        <v>301</v>
      </c>
      <c r="H61" s="71"/>
    </row>
    <row r="62" customFormat="false" ht="15.75" hidden="false" customHeight="true" outlineLevel="0" collapsed="false">
      <c r="A62" s="68" t="n">
        <v>2029</v>
      </c>
      <c r="B62" s="69" t="n">
        <v>42756</v>
      </c>
      <c r="C62" s="69" t="n">
        <v>3563</v>
      </c>
      <c r="D62" s="69" t="n">
        <v>822</v>
      </c>
      <c r="E62" s="70" t="s">
        <v>320</v>
      </c>
      <c r="F62" s="54" t="n">
        <v>493</v>
      </c>
      <c r="G62" s="55" t="n">
        <v>329</v>
      </c>
      <c r="H62" s="71" t="s">
        <v>321</v>
      </c>
    </row>
    <row r="63" customFormat="false" ht="15.75" hidden="false" customHeight="true" outlineLevel="0" collapsed="false">
      <c r="A63" s="68" t="n">
        <v>2030</v>
      </c>
      <c r="B63" s="69" t="n">
        <v>42396</v>
      </c>
      <c r="C63" s="69" t="n">
        <v>3533</v>
      </c>
      <c r="D63" s="69" t="n">
        <v>815</v>
      </c>
      <c r="E63" s="70" t="s">
        <v>322</v>
      </c>
      <c r="F63" s="54" t="n">
        <v>489</v>
      </c>
      <c r="G63" s="55" t="n">
        <v>326</v>
      </c>
      <c r="H63" s="71"/>
    </row>
    <row r="64" customFormat="false" ht="15.75" hidden="false" customHeight="true" outlineLevel="0" collapsed="false">
      <c r="A64" s="68" t="n">
        <v>2031</v>
      </c>
      <c r="B64" s="69" t="n">
        <v>44542</v>
      </c>
      <c r="C64" s="69" t="n">
        <v>3712</v>
      </c>
      <c r="D64" s="69" t="n">
        <v>857</v>
      </c>
      <c r="E64" s="70" t="s">
        <v>323</v>
      </c>
      <c r="F64" s="54" t="n">
        <v>514</v>
      </c>
      <c r="G64" s="55" t="n">
        <v>343</v>
      </c>
      <c r="H64" s="71"/>
    </row>
    <row r="65" customFormat="false" ht="15.75" hidden="false" customHeight="true" outlineLevel="0" collapsed="false">
      <c r="A65" s="72" t="n">
        <v>2032</v>
      </c>
      <c r="B65" s="72"/>
      <c r="C65" s="72"/>
      <c r="D65" s="72"/>
      <c r="E65" s="72"/>
      <c r="F65" s="72"/>
      <c r="G65" s="72"/>
      <c r="H65" s="71" t="s">
        <v>324</v>
      </c>
    </row>
    <row r="66" customFormat="false" ht="18" hidden="false" customHeight="true" outlineLevel="0" collapsed="false">
      <c r="A66" s="58" t="s">
        <v>325</v>
      </c>
      <c r="H66" s="73" t="s">
        <v>326</v>
      </c>
      <c r="I66" s="60"/>
    </row>
    <row r="67" customFormat="false" ht="4.5" hidden="false" customHeight="true" outlineLevel="0" collapsed="false">
      <c r="A67" s="74"/>
      <c r="B67" s="75"/>
      <c r="C67" s="76"/>
      <c r="D67" s="76"/>
      <c r="E67" s="77"/>
      <c r="F67" s="78"/>
      <c r="G67" s="76"/>
      <c r="H67" s="76"/>
      <c r="I67" s="56"/>
    </row>
    <row r="68" customFormat="false" ht="16.5" hidden="false" customHeight="true" outlineLevel="0" collapsed="false">
      <c r="A68" s="7" t="s">
        <v>327</v>
      </c>
      <c r="B68" s="8" t="n">
        <v>2000</v>
      </c>
      <c r="C68" s="53" t="n">
        <f aca="false">ROUND(B68/12,0)</f>
        <v>167</v>
      </c>
      <c r="D68" s="53" t="n">
        <f aca="false">ROUND(B68/52,0)</f>
        <v>38</v>
      </c>
      <c r="E68" s="54" t="n">
        <f aca="false">ROUND(D68*0.5,0)</f>
        <v>19</v>
      </c>
      <c r="F68" s="55" t="n">
        <f aca="false">ROUND(D68*0.5,0)</f>
        <v>19</v>
      </c>
      <c r="G68" s="53"/>
      <c r="H68" s="53" t="str">
        <f aca="false">IF(G68&lt;&gt;"",B68-G68,"")</f>
        <v/>
      </c>
      <c r="I68" s="56" t="s">
        <v>328</v>
      </c>
    </row>
    <row r="69" customFormat="false" ht="16.5" hidden="false" customHeight="true" outlineLevel="0" collapsed="false">
      <c r="A69" s="7" t="s">
        <v>329</v>
      </c>
      <c r="H69" s="53" t="str">
        <f aca="false">IF(G56&lt;&gt;"",B56-G56,"")</f>
        <v/>
      </c>
      <c r="I69" s="56" t="s">
        <v>330</v>
      </c>
    </row>
    <row r="70" customFormat="false" ht="18" hidden="false" customHeight="true" outlineLevel="0" collapsed="false">
      <c r="A70" s="58" t="s">
        <v>331</v>
      </c>
      <c r="B70" s="59" t="n">
        <f aca="false">B57+B68</f>
        <v>2000</v>
      </c>
      <c r="C70" s="59" t="n">
        <f aca="false">C57+C68</f>
        <v>167</v>
      </c>
      <c r="D70" s="59" t="n">
        <f aca="false">D57+D68</f>
        <v>38</v>
      </c>
      <c r="E70" s="59" t="n">
        <f aca="false">E57+E68</f>
        <v>19</v>
      </c>
      <c r="F70" s="59" t="n">
        <f aca="false">F57+F68</f>
        <v>19</v>
      </c>
      <c r="G70" s="59" t="n">
        <f aca="false">IFERROR(SUM(G57:G68),"")</f>
        <v>1588</v>
      </c>
      <c r="H70" s="59" t="n">
        <f aca="false">SUMIF(G57:G68,"&lt;&gt;",B57:B68)-SUMIF(G57:G68,"&lt;&gt;",G57:G68)</f>
        <v>204802</v>
      </c>
    </row>
    <row r="71" customFormat="false" ht="32.25" hidden="false" customHeight="true" outlineLevel="0" collapsed="false"/>
    <row r="72" customFormat="false" ht="32.25" hidden="false" customHeight="true" outlineLevel="0" collapsed="false">
      <c r="A72" s="52" t="s">
        <v>332</v>
      </c>
    </row>
    <row r="73" customFormat="false" ht="21.75" hidden="false" customHeight="true" outlineLevel="0" collapsed="false">
      <c r="A73" s="57" t="s">
        <v>333</v>
      </c>
      <c r="B73" s="57"/>
      <c r="C73" s="57"/>
      <c r="D73" s="57"/>
      <c r="E73" s="57"/>
      <c r="F73" s="57"/>
      <c r="G73" s="57"/>
      <c r="H73" s="53" t="str">
        <f aca="false">IF(G73&lt;&gt;"",B73-G73,"")</f>
        <v/>
      </c>
      <c r="I73" s="56" t="s">
        <v>334</v>
      </c>
    </row>
    <row r="74" customFormat="false" ht="19.5" hidden="false" customHeight="true" outlineLevel="0" collapsed="false">
      <c r="A74" s="7" t="s">
        <v>335</v>
      </c>
      <c r="B74" s="8" t="n">
        <v>3000</v>
      </c>
      <c r="C74" s="53" t="n">
        <f aca="false">ROUND(B74/12,0)</f>
        <v>250</v>
      </c>
      <c r="D74" s="53" t="n">
        <f aca="false">ROUND(B74/52,0)</f>
        <v>58</v>
      </c>
      <c r="E74" s="54" t="n">
        <f aca="false">ROUND(D74*0.5,0)</f>
        <v>29</v>
      </c>
      <c r="F74" s="55" t="n">
        <f aca="false">ROUND(D74*0.5,0)</f>
        <v>29</v>
      </c>
      <c r="G74" s="53"/>
      <c r="H74" s="53" t="str">
        <f aca="false">IF(G74&lt;&gt;"",B74-G74,"")</f>
        <v/>
      </c>
      <c r="I74" s="56" t="s">
        <v>336</v>
      </c>
    </row>
    <row r="75" customFormat="false" ht="15" hidden="false" customHeight="true" outlineLevel="0" collapsed="false">
      <c r="A75" s="7" t="s">
        <v>337</v>
      </c>
      <c r="H75" s="53" t="n">
        <f aca="false">IF(G62&lt;&gt;"",B62-G62,"")</f>
        <v>42427</v>
      </c>
      <c r="I75" s="56" t="s">
        <v>338</v>
      </c>
    </row>
    <row r="76" customFormat="false" ht="15" hidden="false" customHeight="true" outlineLevel="0" collapsed="false">
      <c r="A76" s="7" t="s">
        <v>339</v>
      </c>
      <c r="B76" s="8" t="n">
        <v>3600</v>
      </c>
      <c r="C76" s="53" t="n">
        <f aca="false">ROUND(B76/12,0)</f>
        <v>300</v>
      </c>
      <c r="D76" s="53" t="n">
        <f aca="false">ROUND(B76/52,0)</f>
        <v>69</v>
      </c>
      <c r="E76" s="54" t="n">
        <f aca="false">ROUND(D76*0.5,0)</f>
        <v>35</v>
      </c>
      <c r="F76" s="55" t="n">
        <f aca="false">ROUND(D76*0.5,0)</f>
        <v>35</v>
      </c>
      <c r="G76" s="53"/>
      <c r="H76" s="53" t="str">
        <f aca="false">IF(G76&lt;&gt;"",B76-G76,"")</f>
        <v/>
      </c>
      <c r="I76" s="56" t="s">
        <v>340</v>
      </c>
    </row>
    <row r="77" customFormat="false" ht="15" hidden="false" customHeight="true" outlineLevel="0" collapsed="false">
      <c r="A77" s="7" t="s">
        <v>341</v>
      </c>
      <c r="B77" s="8" t="n">
        <v>3000</v>
      </c>
      <c r="C77" s="53" t="n">
        <f aca="false">ROUND(B77/12,0)</f>
        <v>250</v>
      </c>
      <c r="D77" s="53" t="n">
        <f aca="false">ROUND(B77/52,0)</f>
        <v>58</v>
      </c>
      <c r="E77" s="54" t="n">
        <f aca="false">ROUND(D77*0.5,0)</f>
        <v>29</v>
      </c>
      <c r="F77" s="55" t="n">
        <f aca="false">ROUND(D77*0.5,0)</f>
        <v>29</v>
      </c>
      <c r="G77" s="53"/>
      <c r="H77" s="53" t="str">
        <f aca="false">IF(G77&lt;&gt;"",B77-G77,"")</f>
        <v/>
      </c>
      <c r="I77" s="56" t="s">
        <v>342</v>
      </c>
    </row>
    <row r="78" customFormat="false" ht="69.75" hidden="false" customHeight="true" outlineLevel="0" collapsed="false">
      <c r="A78" s="57" t="s">
        <v>343</v>
      </c>
      <c r="B78" s="57"/>
      <c r="C78" s="57"/>
      <c r="D78" s="57"/>
      <c r="E78" s="57"/>
      <c r="F78" s="57"/>
      <c r="G78" s="57"/>
      <c r="H78" s="53" t="str">
        <f aca="false">IF(G78&lt;&gt;"",B78-G78,"")</f>
        <v/>
      </c>
      <c r="I78" s="56" t="s">
        <v>344</v>
      </c>
    </row>
    <row r="79" customFormat="false" ht="15" hidden="false" customHeight="true" outlineLevel="0" collapsed="false">
      <c r="A79" s="57"/>
      <c r="B79" s="57"/>
      <c r="C79" s="57"/>
      <c r="D79" s="57"/>
      <c r="E79" s="57"/>
      <c r="F79" s="57"/>
      <c r="G79" s="57"/>
      <c r="H79" s="59" t="n">
        <f aca="false">SUMIF(G60:G64,"&lt;&gt;",B60:B64)-SUMIF(G60:G64,"&lt;&gt;",G60:G64)</f>
        <v>204802</v>
      </c>
    </row>
    <row r="80" customFormat="false" ht="15" hidden="false" customHeight="true" outlineLevel="0" collapsed="false">
      <c r="A80" s="57"/>
      <c r="B80" s="57"/>
      <c r="C80" s="57"/>
      <c r="D80" s="57"/>
      <c r="E80" s="57"/>
      <c r="F80" s="57"/>
      <c r="G80" s="57"/>
    </row>
    <row r="81" customFormat="false" ht="15" hidden="false" customHeight="true" outlineLevel="0" collapsed="false">
      <c r="A81" s="57"/>
      <c r="B81" s="57"/>
      <c r="C81" s="57"/>
      <c r="D81" s="57"/>
      <c r="E81" s="57"/>
      <c r="F81" s="57"/>
      <c r="G81" s="57"/>
    </row>
    <row r="82" customFormat="false" ht="21.75" hidden="false" customHeight="true" outlineLevel="0" collapsed="false">
      <c r="A82" s="7" t="s">
        <v>345</v>
      </c>
      <c r="B82" s="8" t="n">
        <v>0</v>
      </c>
      <c r="C82" s="53" t="n">
        <f aca="false">ROUND(B66/12,0)</f>
        <v>0</v>
      </c>
      <c r="D82" s="53" t="n">
        <f aca="false">ROUND(B66/52,0)</f>
        <v>0</v>
      </c>
      <c r="E82" s="54" t="n">
        <f aca="false">ROUND(D66*1,0)</f>
        <v>0</v>
      </c>
      <c r="F82" s="55" t="n">
        <f aca="false">ROUND(D66*0,0)</f>
        <v>0</v>
      </c>
      <c r="G82" s="53"/>
      <c r="H82" s="53" t="str">
        <f aca="false">IF(E66&lt;&gt;"",B66-E66,"")</f>
        <v/>
      </c>
      <c r="I82" s="56" t="s">
        <v>346</v>
      </c>
    </row>
    <row r="83" customFormat="false" ht="21.75" hidden="false" customHeight="true" outlineLevel="0" collapsed="false">
      <c r="A83" s="7" t="s">
        <v>347</v>
      </c>
      <c r="H83" s="53" t="str">
        <f aca="false">IF(E67&lt;&gt;"",B67-E67,"")</f>
        <v/>
      </c>
      <c r="I83" s="56" t="s">
        <v>348</v>
      </c>
    </row>
    <row r="84" customFormat="false" ht="32.25" hidden="false" customHeight="true" outlineLevel="0" collapsed="false">
      <c r="A84" s="7" t="s">
        <v>349</v>
      </c>
      <c r="B84" s="8" t="n">
        <v>2600</v>
      </c>
      <c r="C84" s="53" t="n">
        <f aca="false">ROUND(B71/12,0)</f>
        <v>0</v>
      </c>
      <c r="D84" s="53" t="n">
        <f aca="false">ROUND(B71/52,0)</f>
        <v>0</v>
      </c>
      <c r="E84" s="54" t="n">
        <f aca="false">ROUND(D71*1,0)</f>
        <v>0</v>
      </c>
      <c r="F84" s="55" t="n">
        <f aca="false">ROUND(D71*0,0)</f>
        <v>0</v>
      </c>
      <c r="G84" s="53" t="n">
        <v>2600</v>
      </c>
      <c r="H84" s="53" t="str">
        <f aca="false">IF(G71&lt;&gt;"",B71-G71,"")</f>
        <v/>
      </c>
      <c r="I84" s="56" t="s">
        <v>350</v>
      </c>
    </row>
    <row r="85" customFormat="false" ht="32.25" hidden="false" customHeight="true" outlineLevel="0" collapsed="false">
      <c r="A85" s="7" t="s">
        <v>351</v>
      </c>
      <c r="B85" s="8" t="n">
        <v>18000</v>
      </c>
      <c r="C85" s="53" t="n">
        <f aca="false">ROUND(B72/12,0)</f>
        <v>0</v>
      </c>
      <c r="D85" s="53" t="n">
        <f aca="false">ROUND(B72/52,0)</f>
        <v>0</v>
      </c>
      <c r="E85" s="54" t="n">
        <f aca="false">ROUND(D72*1,0)</f>
        <v>0</v>
      </c>
      <c r="F85" s="55" t="n">
        <f aca="false">ROUND(D72*0,0)</f>
        <v>0</v>
      </c>
      <c r="G85" s="53" t="n">
        <v>18000</v>
      </c>
      <c r="H85" s="53" t="str">
        <f aca="false">IF(G72&lt;&gt;"",B72-G72,"")</f>
        <v/>
      </c>
      <c r="I85" s="56" t="s">
        <v>352</v>
      </c>
    </row>
    <row r="86" customFormat="false" ht="15" hidden="false" customHeight="true" outlineLevel="0" collapsed="false">
      <c r="A86" s="58" t="s">
        <v>353</v>
      </c>
      <c r="H86" s="59" t="n">
        <f aca="false">SUMIF(G69:G72,"&lt;&gt;",B69:B72)-SUMIF(G69:G72,"&lt;&gt;",G69:G72)</f>
        <v>412</v>
      </c>
    </row>
    <row r="90" customFormat="false" ht="15" hidden="false" customHeight="true" outlineLevel="0" collapsed="false">
      <c r="H90" s="63" t="str">
        <f aca="false">IF(G80&lt;&gt;"",B80-G80,"")</f>
        <v/>
      </c>
    </row>
  </sheetData>
  <mergeCells count="12">
    <mergeCell ref="A1:G1"/>
    <mergeCell ref="A2:G2"/>
    <mergeCell ref="A4:I4"/>
    <mergeCell ref="A12:G12"/>
    <mergeCell ref="A22:G22"/>
    <mergeCell ref="A30:G30"/>
    <mergeCell ref="A38:G38"/>
    <mergeCell ref="A49:G49"/>
    <mergeCell ref="A56:G56"/>
    <mergeCell ref="A65:G65"/>
    <mergeCell ref="A73:G73"/>
    <mergeCell ref="A78:G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2026-05-03T12:35:38Z</dcterms:created>
  <dc:creator>openpyxl</dc:creator>
  <dc:description/>
  <dc:language>en-US</dc:language>
  <cp:lastModifiedBy/>
  <dcterms:modified xsi:type="dcterms:W3CDTF">2026-07-29T00:49:34Z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